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somte\Desktop\alex the analyst\Decode Labs\"/>
    </mc:Choice>
  </mc:AlternateContent>
  <xr:revisionPtr revIDLastSave="0" documentId="8_{B7D76E12-249B-4F3D-AF61-6869927A1179}" xr6:coauthVersionLast="47" xr6:coauthVersionMax="47" xr10:uidLastSave="{00000000-0000-0000-0000-000000000000}"/>
  <bookViews>
    <workbookView xWindow="-120" yWindow="-120" windowWidth="19800" windowHeight="11760" xr2:uid="{00000000-000D-0000-FFFF-FFFF00000000}"/>
  </bookViews>
  <sheets>
    <sheet name="PIVOT TABLE" sheetId="3" r:id="rId1"/>
    <sheet name="Sheet3" sheetId="5" r:id="rId2"/>
    <sheet name="Chart" sheetId="4" r:id="rId3"/>
    <sheet name="Sheet1 (2)" sheetId="2" r:id="rId4"/>
    <sheet name="Sheet1" sheetId="1" r:id="rId5"/>
  </sheets>
  <definedNames>
    <definedName name="_xlnm._FilterDatabase" localSheetId="4" hidden="1">Sheet1!$A$1:$N$1201</definedName>
    <definedName name="ExternalData_1" localSheetId="3" hidden="1">'Sheet1 (2)'!$A$1:$N$1201</definedName>
    <definedName name="Slicer_CouponCode">#N/A</definedName>
    <definedName name="Slicer_CouponCode1">#N/A</definedName>
    <definedName name="Slicer_ReferralSource">#N/A</definedName>
    <definedName name="Slicer_Years__D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2" i="3" l="1"/>
  <c r="B101" i="3"/>
  <c r="B100" i="3"/>
  <c r="A14" i="3" a="1"/>
  <c r="B37" i="3"/>
  <c r="B35" i="3"/>
  <c r="A15" i="3" a="1"/>
  <c r="A16" i="3"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278176-9257-4071-B3B0-4669FE50250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<sst xmlns="http://schemas.openxmlformats.org/spreadsheetml/2006/main" count="21118" uniqueCount="4300">
  <si>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</si>
  <si>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</si>
  <si>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</si>
  <si>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</si>
  <si>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</si>
  <si>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</si>
  <si>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</si>
  <si>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</si>
  <si>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</si>
  <si>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</si>
  <si>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</si>
  <si>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</si>
  <si>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</si>
  <si>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</si>
  <si>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</si>
  <si>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</si>
  <si>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</si>
  <si>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</si>
  <si>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</si>
  <si>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</si>
  <si>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</si>
  <si>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</si>
  <si>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</si>
  <si>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</si>
  <si>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</si>
  <si>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</si>
  <si>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</si>
  <si>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</si>
  <si>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</si>
  <si>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</si>
  <si>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</si>
  <si>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</si>
  <si>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</si>
  <si>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</si>
  <si>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</si>
  <si>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</si>
  <si>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</si>
  <si>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</si>
  <si>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</si>
  <si>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</si>
  <si>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</si>
  <si>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</si>
  <si>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</si>
  <si>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</si>
  <si>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</si>
  <si>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</si>
  <si>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</si>
  <si>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</si>
  <si>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</si>
  <si>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</si>
  <si>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</si>
  <si>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</si>
  <si>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</si>
  <si>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</si>
  <si>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</si>
  <si>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</si>
  <si>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</si>
  <si>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</si>
  <si>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</si>
  <si>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</si>
  <si>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</si>
  <si>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</si>
  <si>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</si>
  <si>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</si>
  <si>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</si>
  <si>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</si>
  <si>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</si>
  <si>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</si>
  <si>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</si>
  <si>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</si>
  <si>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</si>
  <si>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</si>
  <si>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</si>
  <si>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</si>
  <si>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</si>
  <si>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</si>
  <si>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</si>
  <si>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</si>
  <si>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</si>
  <si>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</si>
  <si>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</si>
  <si>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</si>
  <si>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</si>
  <si>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</si>
  <si>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</si>
  <si>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</si>
  <si>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</si>
  <si>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</si>
  <si>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</si>
  <si>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</si>
  <si>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</si>
  <si>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</si>
  <si>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</si>
  <si>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</si>
  <si>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</si>
  <si>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</si>
  <si>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</si>
  <si>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</si>
  <si>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</si>
  <si>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</si>
  <si>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</si>
  <si>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</si>
  <si>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</si>
  <si>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</si>
  <si>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</si>
  <si>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</si>
  <si>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</si>
  <si>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</si>
  <si>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</si>
  <si>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</si>
  <si>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</si>
  <si>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</si>
  <si>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</si>
  <si>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</si>
  <si>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</si>
  <si>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</si>
  <si>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</si>
  <si>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</si>
  <si>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</si>
  <si>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</si>
  <si>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</si>
  <si>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</si>
  <si>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</si>
  <si>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</si>
  <si>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</si>
  <si>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</si>
  <si>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</si>
  <si>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</si>
  <si>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</si>
  <si>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</si>
  <si>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</si>
  <si>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</si>
  <si>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</si>
  <si>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</si>
  <si>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</si>
  <si>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</si>
  <si>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</si>
  <si>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</si>
  <si>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</si>
  <si>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</si>
  <si>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</si>
  <si>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</si>
  <si>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</si>
  <si>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</si>
  <si>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</si>
  <si>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</si>
  <si>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</si>
  <si>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</si>
  <si>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</si>
  <si>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</si>
  <si>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</si>
  <si>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</si>
  <si>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</si>
  <si>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</si>
  <si>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</si>
  <si>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</si>
  <si>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</si>
  <si>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</si>
  <si>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</si>
  <si>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</si>
  <si>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</si>
  <si>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</si>
  <si>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</si>
  <si>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</si>
  <si>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</si>
  <si>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</si>
  <si>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</si>
  <si>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</si>
  <si>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</si>
  <si>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</si>
  <si>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</si>
  <si>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</si>
  <si>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</si>
  <si>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</si>
  <si>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</si>
  <si>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</si>
  <si>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</si>
  <si>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</si>
  <si>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</si>
  <si>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</si>
  <si>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</si>
  <si>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</si>
  <si>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</si>
  <si>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</si>
  <si>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</si>
  <si>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</si>
  <si>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</si>
  <si>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</si>
  <si>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</si>
  <si>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</si>
  <si>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</si>
  <si>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</si>
  <si>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</si>
  <si>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</si>
  <si>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</si>
  <si>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</si>
  <si>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</si>
  <si>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</si>
  <si>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</si>
  <si>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</si>
  <si>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</si>
  <si>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</si>
  <si>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</si>
  <si>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</si>
  <si>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</si>
  <si>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</si>
  <si>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</si>
  <si>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</si>
  <si>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</si>
  <si>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</si>
  <si>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</si>
  <si>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</si>
  <si>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</si>
  <si>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</si>
  <si>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</si>
  <si>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</si>
  <si>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</si>
  <si>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</si>
  <si>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</si>
  <si>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</si>
  <si>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</si>
  <si>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</si>
  <si>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</si>
  <si>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</si>
  <si>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</si>
  <si>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</si>
  <si>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</si>
  <si>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</si>
  <si>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</si>
  <si>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</si>
  <si>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</si>
  <si>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</si>
  <si>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</si>
  <si>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</si>
  <si>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</si>
  <si>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</si>
  <si>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</si>
  <si>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</si>
  <si>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</si>
  <si>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</si>
  <si>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</si>
  <si>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</si>
  <si>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</si>
  <si>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</si>
  <si>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</si>
  <si>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</si>
  <si>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</si>
  <si>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</si>
  <si>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</si>
  <si>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</si>
  <si>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</si>
  <si>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</si>
  <si>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</si>
  <si>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</si>
  <si>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</si>
  <si>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</si>
  <si>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</si>
  <si>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</si>
  <si>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</si>
  <si>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</si>
  <si>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</si>
  <si>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</si>
  <si>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</si>
  <si>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</si>
  <si>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</si>
  <si>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</si>
  <si>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</si>
  <si>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</si>
  <si>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</si>
  <si>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</si>
  <si>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</si>
  <si>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</si>
  <si>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</si>
  <si>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</si>
  <si>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</si>
  <si>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</si>
  <si>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</si>
  <si>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</si>
  <si>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</si>
  <si>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</si>
  <si>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</si>
  <si>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</si>
  <si>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</si>
  <si>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</si>
  <si>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</si>
  <si>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</si>
  <si>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</si>
  <si>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</si>
  <si>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</si>
  <si>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</si>
  <si>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</si>
  <si>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</si>
  <si>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</si>
  <si>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</si>
  <si>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</si>
  <si>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</si>
  <si>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</si>
  <si>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</si>
  <si>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</si>
  <si>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</si>
  <si>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</si>
  <si>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</si>
  <si>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</si>
  <si>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</si>
  <si>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</si>
  <si>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</si>
  <si>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</si>
  <si>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</si>
  <si>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</si>
  <si>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</si>
  <si>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</si>
  <si>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</si>
  <si>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</si>
  <si>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</si>
  <si>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</si>
  <si>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</si>
  <si>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</si>
  <si>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</si>
  <si>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</si>
  <si>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</si>
  <si>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</si>
  <si>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</si>
  <si>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</si>
  <si>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</si>
  <si>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</si>
  <si>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</si>
  <si>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</si>
  <si>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</si>
  <si>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</si>
  <si>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</si>
  <si>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</si>
  <si>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</si>
  <si>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</si>
  <si>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</si>
  <si>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</si>
  <si>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</si>
  <si>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</si>
  <si>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</si>
  <si>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</si>
  <si>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</si>
  <si>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</si>
  <si>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</si>
  <si>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</si>
  <si>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</si>
  <si>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</si>
  <si>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</si>
  <si>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</si>
  <si>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</si>
  <si>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</si>
  <si>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</si>
  <si>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</si>
  <si>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</si>
  <si>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</si>
  <si>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</si>
  <si>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</si>
  <si>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</si>
  <si>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</si>
  <si>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</si>
  <si>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</si>
  <si>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</si>
  <si>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</si>
  <si>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</si>
  <si>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</si>
  <si>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</si>
  <si>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</si>
  <si>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</si>
  <si>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</si>
  <si>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</si>
  <si>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</si>
  <si>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</si>
  <si>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</si>
  <si>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</si>
  <si>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</si>
  <si>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</si>
  <si>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</si>
  <si>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</si>
  <si>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</si>
  <si>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</si>
  <si>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</si>
  <si>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</si>
  <si>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</si>
  <si>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</si>
  <si>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</si>
  <si>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</si>
  <si>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</si>
  <si>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</si>
  <si>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</si>
  <si>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</si>
  <si>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</si>
  <si>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</si>
  <si>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</si>
  <si>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</si>
  <si>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</si>
  <si>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</si>
  <si>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</si>
  <si>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</si>
  <si>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</si>
  <si>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</si>
  <si>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</si>
  <si>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</si>
  <si>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</si>
  <si>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</si>
  <si>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</si>
  <si>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</si>
  <si>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</si>
  <si>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</si>
  <si>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</si>
  <si>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</si>
  <si>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</si>
  <si>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</si>
  <si>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</si>
  <si>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</si>
  <si>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</si>
  <si>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</si>
  <si>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</si>
  <si>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</si>
  <si>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</si>
  <si>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</si>
  <si>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</si>
  <si>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</si>
  <si>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</si>
  <si>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</si>
  <si>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</si>
  <si>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</si>
  <si>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</si>
  <si>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</si>
  <si>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</si>
  <si>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</si>
  <si>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</si>
  <si>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</si>
  <si>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</si>
  <si>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</si>
  <si>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</si>
  <si>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</si>
  <si>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</si>
  <si>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</si>
  <si>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</si>
  <si>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</si>
  <si>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</si>
  <si>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</si>
  <si>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</si>
  <si>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</si>
  <si>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</si>
  <si>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</si>
  <si>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</si>
  <si>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</si>
  <si>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</si>
  <si>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</si>
  <si>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</si>
  <si>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</si>
  <si>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</si>
  <si>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</si>
  <si>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</si>
  <si>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</si>
  <si>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</si>
  <si>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</si>
  <si>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</si>
  <si>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</si>
  <si>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</si>
  <si>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</si>
  <si>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</si>
  <si>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</si>
  <si>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</si>
  <si>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</si>
  <si>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</si>
  <si>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</si>
  <si>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</si>
  <si>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</si>
  <si>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</si>
  <si>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</si>
  <si>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</si>
  <si>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</si>
  <si>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</si>
  <si>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</si>
  <si>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</si>
  <si>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</si>
  <si>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</si>
  <si>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</si>
  <si>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</si>
  <si>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</si>
  <si>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</si>
  <si>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</si>
  <si>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</si>
  <si>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</si>
  <si>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</si>
  <si>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</si>
  <si>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</si>
  <si>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</si>
  <si>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</si>
  <si>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</si>
  <si>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</si>
  <si>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</si>
  <si>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</si>
  <si>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</si>
  <si>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</si>
  <si>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</si>
  <si>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</si>
  <si>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</si>
  <si>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</si>
  <si>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</si>
  <si>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</si>
  <si>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</si>
  <si>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</si>
  <si>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</si>
  <si>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</si>
  <si>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</si>
  <si>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</si>
  <si>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</si>
  <si>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</si>
  <si>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</si>
  <si>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</si>
  <si>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</si>
  <si>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</si>
  <si>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</si>
  <si>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</si>
  <si>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</si>
  <si>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</si>
  <si>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</si>
  <si>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</si>
  <si>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</si>
  <si>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</si>
  <si>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</si>
  <si>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</si>
  <si>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</si>
  <si>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</si>
  <si>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</si>
  <si>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</si>
  <si>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</si>
  <si>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</si>
  <si>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</si>
  <si>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</si>
  <si>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</si>
  <si>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</si>
  <si>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</si>
  <si>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</si>
  <si>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</si>
  <si>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</si>
  <si>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</si>
  <si>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</si>
  <si>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</si>
  <si>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</si>
  <si>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</si>
  <si>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</si>
  <si>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</si>
  <si>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</si>
  <si>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</si>
  <si>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</si>
  <si>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</si>
  <si>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</si>
  <si>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</si>
  <si>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</si>
  <si>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</si>
  <si>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</si>
  <si>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</si>
  <si>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</si>
  <si>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</si>
  <si>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</si>
  <si>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</si>
  <si>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</si>
  <si>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</si>
  <si>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</si>
  <si>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</si>
  <si>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</si>
  <si>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</si>
  <si>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</si>
  <si>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</si>
  <si>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</si>
  <si>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</si>
  <si>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</si>
  <si>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</si>
  <si>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</si>
  <si>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</si>
  <si>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</si>
  <si>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</si>
  <si>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</si>
  <si>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</si>
  <si>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</si>
  <si>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</si>
  <si>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</si>
  <si>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</si>
  <si>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</si>
  <si>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</si>
  <si>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</si>
  <si>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</si>
  <si>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</si>
  <si>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</si>
  <si>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</si>
  <si>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</si>
  <si>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</si>
  <si>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</si>
  <si>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</si>
  <si>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</si>
  <si>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</si>
  <si>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</si>
  <si>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</si>
  <si>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</si>
  <si>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</si>
  <si>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</si>
  <si>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</si>
  <si>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</si>
  <si>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</si>
  <si>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</si>
  <si>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</si>
  <si>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</si>
  <si>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</si>
  <si>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</si>
  <si>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</si>
  <si>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</si>
  <si>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</si>
  <si>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</si>
  <si>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</si>
  <si>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</si>
  <si>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</si>
  <si>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</si>
  <si>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</si>
  <si>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</si>
  <si>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</si>
  <si>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</si>
  <si>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</si>
  <si>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</si>
  <si>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</si>
  <si>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</si>
  <si>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</si>
  <si>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</si>
  <si>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</si>
  <si>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</si>
  <si>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</si>
  <si>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</si>
  <si>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</si>
  <si>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</si>
  <si>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</si>
  <si>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</si>
  <si>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</si>
  <si>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</si>
  <si>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</si>
  <si>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</si>
  <si>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</si>
  <si>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</si>
  <si>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</si>
  <si>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</si>
  <si>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</si>
  <si>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</si>
  <si>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</si>
  <si>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</si>
  <si>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</si>
  <si>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</si>
  <si>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</si>
  <si>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</si>
  <si>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</si>
  <si>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</si>
  <si>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</si>
  <si>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</si>
  <si>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</si>
  <si>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</si>
  <si>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</si>
  <si>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</si>
  <si>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</si>
  <si>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</si>
  <si>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</si>
  <si>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</si>
  <si>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</si>
  <si>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</si>
  <si>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</si>
  <si>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</si>
  <si>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</si>
  <si>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</si>
  <si>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</si>
  <si>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</si>
  <si>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</si>
  <si>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</si>
  <si>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</si>
  <si>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</si>
  <si>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</si>
  <si>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</si>
  <si>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</si>
  <si>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</si>
  <si>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</si>
  <si>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</si>
  <si>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</si>
  <si>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</si>
  <si>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</si>
  <si>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</si>
  <si>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</si>
  <si>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</si>
  <si>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</si>
  <si>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</si>
  <si>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</si>
  <si>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</si>
  <si>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</si>
  <si>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</si>
  <si>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</si>
  <si>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</si>
  <si>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</si>
  <si>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</si>
  <si>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</si>
  <si>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</si>
  <si>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</si>
  <si>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</si>
  <si>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</si>
  <si>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</si>
  <si>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</si>
  <si>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</si>
  <si>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</si>
  <si>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</si>
  <si>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</si>
  <si>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</si>
  <si>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</si>
  <si>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</si>
  <si>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</si>
  <si>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</si>
  <si>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</si>
  <si>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</si>
  <si>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</si>
  <si>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</si>
  <si>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</si>
  <si>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</si>
  <si>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</si>
  <si>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</si>
  <si>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</si>
  <si>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</si>
  <si>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</si>
  <si>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</si>
  <si>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</si>
  <si>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</si>
  <si>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</si>
  <si>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</si>
  <si>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</si>
  <si>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</si>
  <si>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</si>
  <si>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</si>
  <si>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</si>
  <si>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</si>
  <si>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</si>
  <si>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</si>
  <si>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</si>
  <si>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</si>
  <si>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</si>
  <si>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</si>
  <si>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</si>
  <si>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</si>
  <si>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</si>
  <si>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</si>
  <si>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</si>
  <si>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</si>
  <si>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</si>
  <si>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</si>
  <si>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</si>
  <si>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</si>
  <si>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</si>
  <si>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</si>
  <si>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</si>
  <si>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</si>
  <si>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</si>
  <si>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</si>
  <si>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</si>
  <si>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</si>
  <si>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</si>
  <si>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</si>
  <si>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</si>
  <si>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</si>
  <si>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</si>
  <si>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</si>
  <si>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</si>
  <si>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</si>
  <si>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</si>
  <si>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</si>
  <si>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</si>
  <si>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</si>
  <si>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</si>
  <si>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</si>
  <si>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</si>
  <si>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</si>
  <si>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</si>
  <si>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</si>
  <si>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</si>
  <si>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</si>
  <si>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</si>
  <si>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</si>
  <si>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</si>
  <si>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</si>
  <si>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</si>
  <si>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</si>
  <si>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</si>
  <si>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</si>
  <si>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</si>
  <si>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</si>
  <si>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</si>
  <si>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</si>
  <si>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</si>
  <si>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</si>
  <si>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</si>
  <si>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</si>
  <si>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</si>
  <si>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</si>
  <si>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</si>
  <si>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</si>
  <si>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</si>
  <si>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</si>
  <si>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</si>
  <si>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</si>
  <si>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</si>
  <si>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</si>
  <si>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</si>
  <si>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</si>
  <si>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</si>
  <si>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</si>
  <si>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</si>
  <si>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</si>
  <si>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</si>
  <si>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</si>
  <si>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</si>
  <si>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</si>
  <si>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</si>
  <si>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</si>
  <si>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</si>
  <si>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</si>
  <si>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</si>
  <si>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</si>
  <si>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</si>
  <si>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</si>
  <si>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</si>
  <si>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</si>
  <si>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</si>
  <si>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</si>
  <si>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</si>
  <si>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</si>
  <si>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</si>
  <si>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</si>
  <si>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</si>
  <si>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</si>
  <si>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</si>
  <si>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</si>
  <si>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</si>
  <si>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</si>
  <si>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</si>
  <si>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</si>
  <si>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</si>
  <si>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</si>
  <si>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</si>
  <si>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</si>
  <si>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</si>
  <si>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</si>
  <si>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</si>
  <si>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</si>
  <si>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</si>
  <si>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</si>
  <si>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</si>
  <si>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</si>
  <si>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</si>
  <si>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</si>
  <si>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</si>
  <si>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</si>
  <si>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</si>
  <si>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</si>
  <si>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</si>
  <si>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</si>
  <si>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</si>
  <si>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</si>
  <si>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</si>
  <si>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</si>
  <si>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</si>
  <si>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</si>
  <si>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</si>
  <si>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</si>
  <si>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</si>
  <si>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</si>
  <si>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</si>
  <si>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</si>
  <si>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</si>
  <si>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</si>
  <si>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</si>
  <si>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</si>
  <si>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</si>
  <si>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</si>
  <si>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</si>
  <si>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</si>
  <si>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</si>
  <si>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</si>
  <si>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</si>
  <si>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</si>
  <si>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</si>
  <si>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</si>
  <si>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</si>
  <si>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</si>
  <si>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</si>
  <si>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</si>
  <si>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</si>
  <si>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</si>
  <si>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</si>
  <si>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</si>
  <si>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</si>
  <si>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</si>
  <si>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</si>
  <si>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</si>
  <si>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</si>
  <si>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</si>
  <si>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</si>
  <si>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</si>
  <si>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</si>
  <si>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</si>
  <si>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</si>
  <si>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</si>
  <si>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</si>
  <si>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</si>
  <si>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</si>
  <si>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</si>
  <si>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</si>
  <si>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</si>
  <si>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</si>
  <si>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</si>
  <si>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</si>
  <si>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</si>
  <si>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</si>
  <si>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</si>
  <si>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</si>
  <si>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</si>
  <si>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</si>
  <si>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</si>
  <si>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</si>
  <si>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</si>
  <si>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</si>
  <si>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</si>
  <si>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</si>
  <si>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</si>
  <si>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</si>
  <si>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</si>
  <si>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</si>
  <si>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</si>
  <si>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</si>
  <si>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</si>
  <si>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</si>
  <si>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</si>
  <si>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</si>
  <si>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</si>
  <si>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</si>
  <si>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</si>
  <si>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</si>
  <si>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</si>
  <si>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</si>
  <si>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</si>
  <si>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</si>
  <si>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</si>
  <si>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</si>
  <si>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</si>
  <si>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</si>
  <si>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</si>
  <si>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</si>
  <si>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</si>
  <si>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</si>
  <si>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</si>
  <si>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</si>
  <si>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</si>
  <si>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</si>
  <si>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</si>
  <si>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</si>
  <si>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</si>
  <si>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</si>
  <si>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</si>
  <si>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</si>
  <si>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</si>
  <si>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</si>
  <si>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</si>
  <si>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</si>
  <si>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</si>
  <si>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</si>
  <si>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</si>
  <si>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</si>
  <si>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</si>
  <si>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</si>
  <si>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</si>
  <si>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</si>
  <si>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</si>
  <si>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</si>
  <si>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</si>
  <si>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</si>
  <si>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</si>
  <si>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</si>
  <si>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</si>
  <si>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</si>
  <si>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</si>
  <si>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</si>
  <si>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</si>
  <si>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</si>
  <si>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</si>
  <si>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</si>
  <si>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</si>
  <si>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</si>
  <si>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</si>
  <si>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</si>
  <si>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</si>
  <si>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</si>
  <si>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</si>
  <si>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</si>
  <si>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</si>
  <si>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</si>
  <si>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</si>
  <si>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</si>
  <si>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</si>
  <si>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</si>
  <si>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</si>
  <si>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</si>
  <si>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</si>
  <si>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</si>
  <si>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</si>
  <si>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</si>
  <si>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</si>
  <si>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</si>
  <si>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</si>
  <si>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</si>
  <si>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</si>
  <si>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</si>
  <si>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</si>
  <si>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</si>
  <si>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</si>
  <si>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</si>
  <si>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</si>
  <si>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</si>
  <si>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</si>
  <si>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</si>
  <si>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</si>
  <si>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</si>
  <si>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</si>
  <si>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</si>
  <si>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</si>
  <si>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</si>
  <si>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</si>
  <si>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</si>
  <si>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</si>
  <si>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</si>
  <si>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</si>
  <si>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</si>
  <si>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</si>
  <si>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</si>
  <si>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</si>
  <si>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</si>
  <si>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</si>
  <si>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</si>
  <si>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</si>
  <si>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</si>
  <si>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</si>
  <si>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</si>
  <si>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</si>
  <si>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</si>
  <si>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</si>
  <si>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</si>
  <si>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</si>
  <si>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</si>
  <si>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</si>
  <si>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</si>
  <si>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</si>
  <si>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</si>
  <si>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</si>
  <si>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</si>
  <si>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</si>
  <si>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</si>
  <si>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</si>
  <si>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</si>
  <si>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</si>
  <si>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</si>
  <si>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</si>
  <si>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</si>
  <si>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</si>
  <si>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</si>
  <si>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</si>
  <si>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</si>
  <si>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</si>
  <si>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</si>
  <si>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</si>
  <si>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</si>
  <si>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</si>
  <si>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</si>
  <si>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</si>
  <si>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</si>
  <si>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</si>
  <si>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</si>
  <si>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</si>
  <si>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</si>
  <si>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</si>
  <si>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</si>
  <si>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</si>
  <si>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</si>
  <si>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</si>
  <si>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</si>
  <si>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</si>
  <si>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</si>
  <si>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</si>
  <si>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</si>
  <si>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</si>
  <si>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</si>
  <si>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</si>
  <si>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</si>
  <si>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</si>
  <si>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</si>
  <si>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</si>
  <si>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</si>
  <si>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</si>
  <si>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</si>
  <si>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</si>
  <si>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</si>
  <si>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</si>
  <si>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</si>
  <si>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</si>
  <si>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</si>
  <si>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</si>
  <si>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</si>
  <si>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</si>
  <si>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</si>
  <si>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</si>
  <si>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</si>
  <si>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</si>
  <si>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</si>
  <si>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</si>
  <si>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</si>
  <si>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</si>
  <si>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</si>
  <si>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</si>
  <si>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</si>
  <si>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</si>
  <si>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</si>
  <si>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</si>
  <si>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</si>
  <si>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</si>
  <si>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</si>
  <si>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</si>
  <si>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</si>
  <si>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</si>
  <si>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</si>
  <si>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</si>
  <si>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</si>
  <si>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</si>
  <si>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</si>
  <si>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</si>
  <si>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</si>
  <si>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</si>
  <si>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</si>
  <si>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</si>
  <si>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</si>
  <si>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</si>
  <si>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</si>
  <si>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</si>
  <si>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</si>
  <si>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</si>
  <si>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</si>
  <si>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</si>
  <si>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</si>
  <si>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</si>
  <si>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</si>
  <si>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</si>
  <si>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</si>
  <si>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</si>
  <si>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</si>
  <si>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</si>
  <si>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</si>
  <si>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</si>
  <si>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</si>
  <si>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</si>
  <si>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</si>
  <si>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</si>
  <si>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</si>
  <si>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</si>
  <si>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</si>
  <si>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</si>
  <si>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</si>
  <si>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</si>
  <si>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</si>
  <si>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</si>
  <si>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</si>
  <si>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</si>
  <si>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</si>
  <si>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</si>
  <si>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</si>
  <si>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</si>
  <si>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</si>
  <si>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</si>
  <si>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</si>
  <si>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</si>
  <si>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</si>
  <si>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</si>
  <si>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</si>
  <si>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</si>
  <si>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</si>
  <si>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</si>
  <si>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</si>
  <si>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</si>
  <si>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</si>
  <si>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</si>
  <si>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</si>
  <si>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</si>
  <si>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</si>
  <si>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</si>
  <si>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</si>
  <si>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</si>
  <si>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</si>
  <si>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</si>
  <si>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</si>
  <si>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</si>
  <si>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</si>
  <si>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</si>
  <si>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</si>
  <si>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</si>
  <si>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</si>
  <si>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</si>
  <si>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</si>
  <si>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</si>
  <si>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</si>
  <si>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</si>
  <si>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</si>
  <si>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</si>
  <si>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</si>
  <si>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</si>
  <si>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</si>
  <si>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</si>
  <si>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</si>
  <si>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</si>
  <si>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</si>
  <si>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</si>
  <si>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</si>
  <si>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</si>
  <si>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</si>
  <si>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</si>
  <si>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</si>
  <si>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</si>
  <si>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</si>
  <si>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</si>
  <si>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</si>
  <si>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</si>
  <si>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</si>
  <si>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</si>
  <si>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</si>
  <si>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</si>
  <si>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</si>
  <si>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</si>
  <si>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</si>
  <si>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</si>
  <si>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</si>
  <si>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</si>
  <si>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</si>
  <si>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</si>
  <si>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</si>
  <si>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</si>
  <si>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</si>
  <si>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</si>
  <si>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</si>
  <si>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</si>
  <si>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</si>
  <si>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</si>
  <si>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</si>
  <si>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</si>
  <si>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</si>
  <si>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</si>
  <si>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</si>
  <si>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</si>
  <si>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</si>
  <si>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</si>
  <si>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</si>
  <si>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</si>
  <si>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</si>
  <si>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</si>
  <si>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</si>
  <si>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</si>
  <si>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</si>
  <si>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</si>
  <si>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</si>
  <si>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</si>
  <si>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</si>
  <si>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</si>
  <si>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</si>
  <si>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</si>
  <si>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</si>
  <si>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</si>
  <si>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</si>
  <si>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</si>
  <si>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</si>
  <si>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</si>
  <si>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</si>
  <si>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</si>
  <si>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</si>
  <si>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</si>
  <si>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</si>
  <si>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</si>
  <si>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</si>
  <si>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</si>
  <si>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</si>
  <si>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</si>
  <si>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</si>
  <si>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</si>
  <si>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</si>
  <si>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</si>
  <si>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</si>
  <si>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</si>
  <si>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</si>
  <si>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</si>
  <si>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</si>
  <si>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</si>
  <si>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</si>
  <si>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</si>
  <si>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</si>
  <si>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</si>
  <si>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</si>
  <si>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</si>
  <si>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</si>
  <si>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</si>
  <si>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</si>
  <si>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</si>
  <si>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</si>
  <si>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</si>
  <si>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</si>
  <si>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</si>
  <si>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</si>
  <si>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</si>
  <si>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</si>
  <si>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</si>
  <si>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</si>
  <si>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</si>
  <si>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</si>
  <si>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</si>
  <si>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</si>
  <si>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</si>
  <si>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</si>
  <si>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</si>
  <si>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</si>
  <si>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</si>
  <si>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</si>
  <si>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</si>
  <si>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</si>
  <si>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</si>
  <si>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</si>
  <si>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</si>
  <si>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</si>
  <si>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</si>
  <si>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</si>
  <si>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</si>
  <si>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</si>
  <si>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</si>
  <si>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</si>
  <si>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</si>
  <si>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</si>
  <si>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</si>
  <si>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</si>
  <si>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</si>
  <si>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</si>
  <si>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</si>
  <si>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</si>
  <si>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</si>
  <si>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</si>
  <si>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</si>
  <si>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</si>
  <si>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</si>
  <si>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</si>
  <si>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</si>
  <si>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</si>
  <si>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</si>
  <si>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</si>
  <si>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</si>
  <si>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</si>
  <si>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</si>
  <si>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</si>
  <si>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</si>
  <si>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</si>
  <si>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</si>
  <si>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</si>
  <si>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</si>
  <si>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</si>
  <si>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</si>
  <si>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</si>
  <si>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</si>
  <si>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</si>
  <si>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</si>
  <si>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</si>
  <si>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</si>
  <si>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</si>
  <si>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</si>
  <si>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</si>
  <si>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</si>
  <si>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</si>
  <si>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</si>
  <si>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</si>
  <si>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</si>
  <si>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</si>
  <si>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</si>
  <si>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</si>
  <si>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</si>
  <si>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</si>
  <si>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</si>
  <si>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</si>
  <si>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</si>
  <si>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</si>
  <si>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</si>
  <si>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</si>
  <si>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</si>
  <si>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</si>
  <si>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</si>
  <si>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</si>
  <si>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</si>
  <si>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</si>
  <si>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</si>
  <si>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</si>
  <si>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</si>
  <si>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</si>
  <si>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</si>
  <si>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</si>
  <si>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</si>
  <si>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</si>
  <si>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</si>
  <si>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</si>
  <si>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</si>
  <si>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</si>
  <si>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</si>
  <si>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</si>
  <si>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</si>
  <si>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</si>
  <si>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</si>
  <si>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</si>
  <si>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</si>
  <si>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</si>
  <si>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</si>
  <si>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</si>
  <si>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</si>
  <si>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</si>
  <si>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</si>
  <si>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</si>
  <si>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</si>
  <si>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</si>
  <si>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</si>
  <si>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</si>
  <si>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</si>
  <si>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</si>
  <si>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</si>
  <si>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</si>
  <si>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</si>
  <si>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</si>
  <si>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</si>
  <si>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</si>
  <si>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</si>
  <si>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</si>
  <si>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</si>
  <si>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</si>
  <si>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</si>
  <si>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</si>
  <si>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</si>
  <si>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</si>
  <si>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</si>
  <si>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</si>
  <si>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</si>
  <si>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</si>
  <si>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</si>
  <si>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</si>
  <si>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</si>
  <si>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</si>
  <si>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</si>
  <si>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</si>
  <si>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</si>
  <si>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</si>
  <si>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</si>
  <si>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</si>
  <si>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</si>
  <si>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</si>
  <si>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</si>
  <si>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</si>
  <si>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</si>
  <si>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</si>
  <si>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</si>
  <si>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</si>
  <si>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</si>
  <si>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</si>
  <si>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</si>
  <si>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</si>
  <si>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</si>
  <si>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</si>
  <si>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</si>
  <si>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</si>
  <si>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</si>
  <si>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</si>
  <si>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</si>
  <si>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</si>
  <si>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</si>
  <si>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</si>
  <si>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</si>
  <si>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</si>
  <si>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</si>
  <si>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</si>
  <si>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</si>
  <si>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</si>
  <si>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</si>
  <si>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</si>
  <si>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</si>
  <si>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</si>
  <si>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</si>
  <si>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</si>
  <si>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</si>
  <si>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</si>
  <si>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</si>
  <si>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</si>
  <si>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</si>
  <si>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</si>
  <si>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</si>
  <si>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</si>
  <si>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</si>
  <si>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</si>
  <si>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</si>
  <si>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</si>
  <si>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</si>
  <si>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</si>
  <si>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</si>
  <si>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</si>
  <si>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</si>
  <si>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</si>
  <si>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</si>
  <si>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</si>
  <si>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</si>
  <si>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</si>
  <si>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</si>
  <si>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</si>
  <si>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</si>
  <si>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</si>
  <si>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</si>
  <si>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</si>
  <si>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</si>
  <si>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</si>
  <si>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</si>
  <si>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</si>
  <si>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</si>
  <si>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</si>
  <si>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</si>
  <si>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</si>
  <si>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</si>
  <si>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</si>
  <si>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</si>
  <si>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</si>
  <si>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</si>
  <si>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</si>
  <si>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</si>
  <si>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</si>
  <si>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</si>
  <si>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</si>
  <si>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</si>
  <si>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</si>
  <si>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</si>
  <si>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</si>
  <si>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</si>
  <si>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</si>
  <si>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</si>
  <si>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</si>
  <si>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</si>
  <si>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</si>
  <si>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</si>
  <si>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</si>
  <si>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</si>
  <si>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</si>
  <si>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</si>
  <si>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</si>
  <si>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</si>
  <si>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</si>
  <si>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</si>
  <si>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</si>
  <si>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</si>
  <si>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</si>
  <si>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</si>
  <si>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</si>
  <si>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</si>
  <si>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</si>
  <si>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</si>
  <si>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</si>
  <si>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</si>
  <si>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</si>
  <si>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</si>
  <si>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</si>
  <si>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</si>
  <si>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</si>
  <si>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</si>
  <si>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</si>
  <si>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</si>
  <si>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</si>
  <si>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</si>
  <si>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</si>
  <si>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</si>
  <si>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</si>
  <si>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</si>
  <si>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</si>
  <si>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</si>
  <si>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</si>
  <si>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</si>
  <si>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</si>
  <si>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</si>
  <si>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</si>
  <si>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</si>
  <si>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</si>
  <si>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</si>
  <si>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</si>
  <si>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</si>
  <si>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</si>
  <si>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</si>
  <si>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</si>
  <si>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</si>
  <si>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</si>
  <si>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</si>
  <si>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</si>
  <si>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</si>
  <si>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</si>
  <si>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</si>
  <si>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</si>
  <si>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</si>
  <si>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</si>
  <si>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</si>
  <si>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</si>
  <si>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</si>
  <si>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</si>
  <si>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</si>
  <si>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</si>
  <si>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</si>
  <si>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</si>
  <si>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</si>
  <si>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</si>
  <si>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</si>
  <si>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</si>
  <si>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</si>
  <si>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</si>
  <si>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</si>
  <si>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</si>
  <si>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</si>
  <si>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</si>
  <si>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</si>
  <si>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</si>
  <si>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</si>
  <si>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</si>
  <si>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</si>
  <si>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</si>
  <si>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</si>
  <si>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</si>
  <si>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</si>
  <si>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</si>
  <si>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</si>
  <si>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</si>
  <si>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</si>
  <si>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</si>
  <si>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</si>
  <si>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</si>
  <si>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</si>
  <si>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</si>
  <si>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</si>
  <si>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</si>
  <si>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</si>
  <si>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</si>
  <si>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</si>
  <si>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</si>
  <si>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</si>
  <si>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</si>
  <si>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</si>
  <si>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</si>
  <si>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</si>
  <si>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</si>
  <si>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</si>
  <si>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</si>
  <si>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</si>
  <si>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</si>
  <si>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</si>
  <si>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</si>
  <si>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</si>
  <si>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</si>
  <si>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</si>
  <si>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</si>
  <si>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</si>
  <si>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</si>
  <si>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</si>
  <si>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</si>
  <si>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</si>
  <si>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</si>
  <si>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</si>
  <si>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</si>
  <si>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</si>
  <si>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</si>
  <si>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</si>
  <si>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</si>
  <si>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</si>
  <si>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</si>
  <si>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</si>
  <si>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</si>
  <si>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</si>
  <si>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</si>
  <si>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</si>
  <si>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</si>
  <si>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</si>
  <si>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</si>
  <si>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</si>
  <si>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</si>
  <si>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</si>
  <si>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</si>
  <si>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</si>
  <si>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</si>
  <si>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</si>
  <si>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</si>
  <si>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</si>
  <si>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</si>
  <si>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</si>
  <si>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</si>
  <si>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</si>
  <si>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</si>
  <si>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</si>
  <si>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</si>
  <si>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</si>
  <si>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</si>
  <si>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</si>
  <si>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</si>
  <si>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</si>
  <si>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</si>
  <si>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</si>
  <si>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</si>
  <si>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</si>
  <si>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</si>
  <si>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</si>
  <si>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</si>
  <si>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</si>
  <si>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</si>
  <si>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</si>
  <si>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</si>
  <si>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</si>
  <si>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</si>
  <si>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</si>
  <si>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</si>
  <si>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</si>
  <si>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</si>
  <si>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</si>
  <si>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</si>
  <si>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</si>
  <si>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</si>
  <si>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</si>
  <si>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</si>
  <si>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</si>
  <si>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</si>
  <si>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</si>
  <si>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</si>
  <si>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</si>
  <si>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</si>
  <si>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</si>
  <si>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</si>
  <si>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</si>
  <si>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</si>
  <si>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</si>
  <si>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</si>
  <si>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</si>
  <si>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</si>
  <si>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</si>
  <si>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</si>
  <si>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</si>
  <si>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</si>
  <si>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</si>
  <si>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</si>
  <si>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</si>
  <si>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</si>
  <si>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</si>
  <si>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</si>
  <si>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</si>
  <si>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</si>
  <si>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</si>
  <si>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</si>
  <si>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</si>
  <si>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</si>
  <si>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</si>
  <si>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</si>
  <si>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</si>
  <si>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</si>
  <si>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</si>
  <si>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</si>
  <si>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</si>
  <si>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</si>
  <si>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</si>
  <si>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</si>
  <si>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</si>
  <si>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</si>
  <si>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</si>
  <si>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</si>
  <si>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</si>
  <si>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</si>
  <si>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</si>
  <si>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</si>
  <si>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</si>
  <si>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</si>
  <si>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</si>
  <si>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</si>
  <si>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</si>
  <si>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</si>
  <si>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</si>
  <si>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</si>
  <si>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</si>
  <si>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</si>
  <si>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</si>
  <si>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</si>
  <si>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</si>
  <si>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</si>
  <si>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</si>
  <si>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</si>
  <si>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</si>
  <si>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</si>
  <si>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</si>
  <si>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</si>
  <si>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</si>
  <si>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</si>
  <si>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</si>
  <si>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</si>
  <si>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</si>
  <si>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</si>
  <si>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</si>
  <si>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</si>
  <si>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</si>
  <si>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</si>
  <si>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</si>
  <si>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</si>
  <si>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</si>
  <si>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</si>
  <si>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</si>
  <si>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</si>
  <si>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</si>
  <si>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</si>
  <si>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</si>
  <si>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</si>
  <si>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</si>
  <si>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</si>
  <si>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</si>
  <si>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</si>
  <si>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</si>
  <si>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</si>
  <si>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</si>
  <si>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</si>
  <si>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</si>
  <si>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</si>
  <si>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</si>
  <si>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</si>
  <si>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</si>
  <si>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</si>
  <si>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</si>
  <si>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</si>
  <si>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</si>
  <si>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</si>
  <si>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</si>
  <si>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</si>
  <si>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</si>
  <si>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</si>
  <si>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</si>
  <si>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</si>
  <si>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</si>
  <si>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</si>
  <si>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</si>
  <si>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</si>
  <si>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</si>
  <si>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</si>
  <si>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</si>
  <si>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</si>
  <si>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</si>
  <si>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</si>
  <si>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</si>
  <si>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</si>
  <si>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</si>
  <si>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</si>
  <si>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</si>
  <si>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</si>
  <si>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</si>
  <si>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</si>
  <si>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</si>
  <si>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</si>
  <si>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</si>
  <si>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</si>
  <si>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</si>
  <si>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</si>
  <si>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</si>
  <si>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</si>
  <si>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</si>
  <si>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</si>
  <si>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</si>
  <si>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</si>
  <si>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</si>
  <si>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</si>
  <si>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</si>
  <si>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</si>
  <si>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</si>
  <si>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</si>
  <si>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</si>
  <si>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</si>
  <si>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</si>
  <si>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</si>
  <si>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</si>
  <si>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</si>
  <si>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</si>
  <si>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</si>
  <si>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</si>
  <si>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</si>
  <si>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</si>
  <si>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</si>
  <si>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</si>
  <si>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</si>
  <si>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</si>
  <si>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</si>
  <si>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</si>
  <si>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</si>
  <si>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</si>
  <si>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</si>
  <si>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</si>
  <si>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</si>
  <si>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</si>
  <si>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</si>
  <si>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</si>
  <si>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</si>
  <si>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</si>
  <si>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</si>
  <si>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</si>
  <si>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</si>
  <si>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</si>
  <si>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</si>
  <si>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</si>
  <si>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</si>
  <si>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</si>
  <si>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</si>
  <si>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</si>
  <si>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</si>
  <si>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</si>
  <si>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</si>
  <si>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</si>
  <si>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</si>
  <si>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</si>
  <si>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</si>
  <si>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</si>
  <si>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</si>
  <si>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</si>
  <si>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</si>
  <si>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</si>
  <si>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</si>
  <si>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</si>
  <si>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</si>
  <si>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</si>
  <si>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</si>
  <si>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</si>
  <si>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</si>
  <si>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</si>
  <si>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</si>
  <si>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</si>
  <si>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</si>
  <si>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</si>
  <si>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</si>
  <si>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</si>
  <si>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</si>
  <si>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</si>
  <si>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</si>
  <si>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</si>
  <si>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</si>
  <si>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</si>
  <si>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</si>
  <si>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</si>
  <si>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</si>
  <si>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</si>
  <si>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</si>
  <si>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</si>
  <si>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</si>
  <si>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</si>
  <si>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</si>
  <si>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</si>
  <si>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</si>
  <si>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</si>
  <si>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</si>
  <si>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</si>
  <si>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</si>
  <si>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</si>
  <si>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</si>
  <si>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</si>
  <si>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</si>
  <si>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</si>
  <si>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</si>
  <si>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</si>
  <si>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</si>
  <si>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</si>
  <si>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</si>
  <si>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</si>
  <si>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</si>
  <si>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</si>
  <si>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</si>
  <si>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</si>
  <si>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</si>
  <si>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</si>
  <si>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</si>
  <si>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</si>
  <si>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</si>
  <si>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</si>
  <si>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</si>
  <si>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</si>
  <si>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</si>
  <si>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</si>
  <si>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</si>
  <si>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</si>
  <si>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</si>
  <si>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</si>
  <si>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</si>
  <si>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</si>
  <si>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</si>
  <si>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</si>
  <si>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</si>
  <si>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</si>
  <si>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</si>
  <si>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</si>
  <si>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</si>
  <si>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</si>
  <si>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</si>
  <si>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</si>
  <si>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</si>
  <si>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</si>
  <si>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</si>
  <si>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</si>
  <si>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</si>
  <si>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</si>
  <si>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</si>
  <si>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</si>
  <si>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</si>
  <si>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</si>
  <si>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</si>
  <si>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</si>
  <si>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</si>
  <si>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</si>
  <si>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</si>
  <si>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</si>
  <si>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</si>
  <si>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</si>
  <si>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</si>
  <si>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</si>
  <si>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</si>
  <si>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</si>
  <si>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</si>
  <si>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</si>
  <si>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</si>
  <si>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</si>
  <si>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</si>
  <si>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</si>
  <si>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</si>
  <si>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</si>
  <si>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</si>
  <si>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</si>
  <si>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</si>
  <si>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</si>
  <si>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</si>
  <si>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</si>
  <si>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</si>
  <si>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</si>
  <si>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</si>
  <si>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</si>
  <si>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</si>
  <si>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</si>
  <si>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</si>
  <si>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</si>
  <si>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</si>
  <si>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</si>
  <si>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</si>
  <si>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</si>
  <si>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</si>
  <si>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</si>
  <si>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</si>
  <si>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</si>
  <si>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</si>
  <si>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</si>
  <si>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</si>
  <si>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</si>
  <si>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</si>
  <si>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</si>
  <si>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</si>
  <si>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</si>
  <si>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</si>
  <si>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</si>
  <si>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</si>
  <si>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</si>
  <si>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</si>
  <si>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</si>
  <si>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</si>
  <si>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</si>
  <si>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</si>
  <si>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</si>
  <si>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</si>
  <si>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</si>
  <si>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</si>
  <si>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</si>
  <si>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</si>
  <si>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</si>
  <si>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</si>
  <si>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</si>
  <si>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</si>
  <si>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</si>
  <si>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</si>
  <si>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</si>
  <si>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</si>
  <si>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</si>
  <si>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</si>
  <si>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</si>
  <si>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</si>
  <si>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</si>
  <si>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</si>
  <si>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</si>
  <si>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</si>
  <si>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</si>
  <si>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</si>
  <si>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</si>
  <si>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</si>
  <si>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</si>
  <si>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</si>
  <si>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</si>
  <si>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</si>
  <si>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</si>
  <si>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</si>
  <si>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</si>
  <si>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</si>
  <si>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</si>
  <si>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</si>
  <si>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</si>
  <si>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</si>
  <si>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</si>
  <si>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</si>
  <si>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</si>
  <si>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</si>
  <si>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</si>
  <si>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</si>
  <si>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</si>
  <si>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</si>
  <si>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</si>
  <si>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</si>
  <si>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</si>
  <si>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</si>
  <si>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</si>
  <si>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</si>
  <si>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</si>
  <si>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</si>
  <si>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</si>
  <si>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</si>
  <si>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</si>
  <si>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</si>
  <si>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</si>
  <si>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</si>
  <si>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</si>
  <si>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</si>
  <si>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</si>
  <si>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</si>
  <si>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</si>
  <si>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</si>
  <si>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</si>
  <si>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</si>
  <si>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</si>
  <si>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</si>
  <si>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</si>
  <si>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</si>
  <si>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</si>
  <si>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</si>
  <si>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</si>
  <si>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</si>
  <si>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</si>
  <si>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</si>
  <si>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</si>
  <si>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</si>
  <si>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</si>
  <si>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</si>
  <si>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</si>
  <si>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</si>
  <si>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</si>
  <si>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</si>
  <si>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</si>
  <si>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</si>
  <si>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</si>
  <si>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</si>
  <si>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</si>
  <si>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</si>
  <si>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</si>
  <si>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</si>
  <si>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</si>
  <si>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</si>
  <si>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</si>
  <si>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</si>
  <si>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</si>
  <si>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</si>
  <si>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</si>
  <si>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</si>
  <si>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</si>
  <si>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</si>
  <si>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</si>
  <si>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</si>
  <si>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</si>
  <si>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</si>
  <si>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</si>
  <si>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</si>
  <si>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</si>
  <si>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</si>
  <si>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</si>
  <si>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</si>
  <si>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</si>
  <si>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</si>
  <si>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</si>
  <si>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</si>
  <si>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</si>
  <si>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</si>
  <si>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</si>
  <si>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</si>
  <si>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</si>
  <si>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</si>
  <si>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</si>
  <si>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</si>
  <si>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</si>
  <si>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</si>
  <si>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</si>
  <si>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</si>
  <si>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</si>
  <si>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</si>
  <si>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</si>
  <si>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</si>
  <si>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</si>
  <si>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</si>
  <si>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</si>
  <si>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</si>
  <si>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</si>
  <si>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</si>
  <si>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</si>
  <si>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</si>
  <si>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</si>
  <si>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</si>
  <si>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</si>
  <si>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</si>
  <si>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</si>
  <si>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</si>
  <si>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</si>
  <si>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</si>
  <si>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</si>
  <si>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</si>
  <si>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</si>
  <si>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</si>
  <si>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</si>
  <si>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</si>
  <si>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</si>
  <si>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</si>
  <si>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</si>
  <si>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</si>
  <si>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</si>
  <si>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</si>
  <si>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</si>
  <si>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</si>
  <si>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</si>
  <si>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</si>
  <si>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</si>
  <si>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</si>
  <si>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</si>
  <si>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</si>
  <si>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</si>
  <si>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</si>
  <si>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</si>
  <si>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</si>
  <si>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</si>
  <si>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</si>
  <si>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</si>
  <si>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</si>
  <si>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</si>
  <si>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</si>
  <si>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</si>
  <si>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</si>
  <si>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</si>
  <si>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</si>
  <si>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</si>
  <si>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</si>
  <si>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</si>
  <si>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</si>
  <si>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</si>
  <si>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</si>
  <si>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</si>
  <si>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</si>
  <si>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</si>
  <si>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</si>
  <si>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</si>
  <si>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</si>
  <si>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</si>
  <si>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</si>
  <si>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</si>
  <si>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</si>
  <si>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</si>
  <si>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</si>
  <si>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</si>
  <si>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</si>
  <si>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</si>
  <si>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</si>
  <si>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</si>
  <si>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</si>
  <si>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</si>
  <si>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</si>
  <si>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</si>
  <si>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</si>
  <si>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</si>
  <si>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</si>
  <si>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</si>
  <si>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</si>
  <si>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</si>
  <si>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</si>
  <si>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</si>
  <si>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</si>
  <si>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</si>
  <si>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</si>
  <si>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</si>
  <si>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</si>
  <si>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</si>
  <si>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</si>
  <si>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</si>
  <si>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</si>
  <si>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</si>
  <si>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</si>
  <si>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</si>
  <si>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</si>
  <si>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</si>
  <si>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</si>
  <si>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</si>
  <si>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</si>
  <si>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</si>
  <si>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</si>
  <si>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</si>
  <si>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</si>
  <si>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</si>
  <si>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</si>
  <si>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</si>
  <si>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</si>
  <si>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</si>
  <si>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</si>
  <si>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</si>
  <si>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</si>
  <si>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</si>
  <si>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</si>
  <si>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</si>
  <si>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</si>
  <si>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</si>
  <si>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</si>
  <si>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</si>
  <si>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</si>
  <si>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</si>
  <si>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</si>
  <si>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</si>
  <si>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</si>
  <si>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</si>
  <si>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</si>
  <si>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</si>
  <si>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</si>
  <si>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</si>
  <si>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</si>
  <si>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</si>
  <si>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</si>
  <si>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</si>
  <si>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</si>
  <si>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</si>
  <si>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</si>
  <si>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</si>
  <si>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</si>
  <si>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</si>
  <si>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</si>
  <si>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</si>
  <si>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</si>
  <si>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</si>
  <si>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</si>
  <si>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</si>
  <si>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</si>
  <si>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</si>
  <si>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</si>
  <si>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</si>
  <si>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</si>
  <si>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</si>
  <si>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</si>
  <si>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</si>
  <si>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</si>
  <si>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</si>
  <si>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</si>
  <si>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</si>
  <si>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</si>
  <si>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</si>
  <si>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</si>
  <si>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</si>
  <si>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</si>
  <si>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</si>
  <si>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</si>
  <si>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</si>
  <si>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</si>
  <si>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</si>
  <si>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</si>
  <si>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</si>
  <si>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</si>
  <si>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</si>
  <si>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</si>
  <si>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</si>
  <si>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</si>
  <si>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</si>
  <si>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</si>
  <si>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</si>
  <si>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</si>
  <si>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</si>
  <si>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</si>
  <si>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</si>
  <si>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</si>
  <si>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</si>
  <si>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</si>
  <si>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</si>
  <si>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</si>
  <si>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</si>
  <si>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</si>
  <si>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</si>
  <si>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</si>
  <si>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</si>
  <si>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</si>
  <si>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</si>
  <si>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</si>
  <si>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</si>
  <si>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</si>
  <si>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</si>
  <si>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</si>
  <si>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</si>
  <si>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</si>
  <si>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</si>
  <si>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</si>
  <si>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</si>
  <si>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</si>
  <si>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</si>
  <si>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</si>
  <si>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</si>
  <si>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</si>
  <si>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</si>
  <si>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</si>
  <si>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</si>
  <si>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</si>
  <si>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</si>
  <si>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</si>
  <si>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</si>
  <si>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</si>
  <si>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</si>
  <si>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</si>
  <si>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</si>
  <si>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</si>
  <si>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</si>
  <si>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</si>
  <si>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</si>
  <si>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</si>
  <si>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</si>
  <si>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</si>
  <si>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</si>
  <si>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</si>
  <si>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</si>
  <si>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</si>
  <si>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</si>
  <si>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</si>
  <si>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</si>
  <si>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</si>
  <si>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</si>
  <si>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</si>
  <si>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</si>
  <si>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</si>
  <si>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</si>
  <si>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</si>
  <si>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</si>
  <si>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</si>
  <si>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</si>
  <si>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</si>
  <si>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</si>
  <si>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</si>
  <si>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</si>
  <si>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</si>
  <si>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</si>
  <si>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</si>
  <si>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</si>
  <si>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</si>
  <si>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</si>
  <si>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</si>
  <si>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</si>
  <si>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</si>
  <si>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</si>
  <si>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</si>
  <si>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</si>
  <si>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</si>
  <si>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</si>
  <si>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</si>
  <si>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</si>
  <si>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</si>
  <si>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</si>
  <si>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</si>
  <si>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</si>
  <si>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</si>
  <si>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</si>
  <si>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</si>
  <si>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</si>
  <si>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</si>
  <si>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</si>
  <si>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</si>
  <si>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</si>
  <si>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</si>
  <si>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</si>
  <si>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</si>
  <si>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</si>
  <si>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</si>
  <si>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</si>
  <si>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</si>
  <si>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</si>
  <si>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</si>
  <si>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</si>
  <si>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</si>
  <si>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</si>
  <si>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</si>
  <si>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</si>
  <si>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</si>
  <si>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</si>
  <si>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</si>
  <si>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</si>
  <si>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</si>
  <si>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</si>
  <si>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</si>
  <si>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</si>
  <si>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</si>
  <si>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</si>
  <si>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</si>
  <si>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</si>
  <si>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</si>
  <si>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</si>
  <si>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</si>
  <si>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</si>
  <si>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</si>
  <si>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</si>
  <si>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</si>
  <si>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</si>
  <si>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</si>
  <si>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</si>
  <si>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</si>
  <si>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</si>
  <si>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</si>
  <si>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</si>
  <si>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</si>
  <si>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</si>
  <si>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</si>
  <si>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</si>
  <si>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</si>
  <si>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</si>
  <si>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</si>
  <si>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</si>
  <si>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</si>
  <si>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</si>
  <si>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</si>
  <si>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</si>
  <si>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</si>
  <si>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</si>
  <si>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</si>
  <si>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</si>
  <si>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</si>
  <si>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</si>
  <si>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</si>
  <si>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</si>
  <si>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</si>
  <si>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</si>
  <si>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</si>
  <si>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</si>
  <si>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</si>
  <si>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</si>
  <si>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</si>
  <si>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</si>
  <si>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</si>
  <si>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</si>
  <si>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</si>
  <si>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</si>
  <si>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</si>
  <si>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</si>
  <si>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</si>
  <si>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</si>
  <si>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</si>
  <si>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</si>
  <si>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</si>
  <si>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</si>
  <si>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</si>
  <si>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</si>
  <si>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</si>
  <si>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</si>
  <si>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</si>
  <si>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</si>
  <si>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</si>
  <si>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</si>
  <si>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</si>
  <si>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</si>
  <si>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</si>
  <si>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</si>
  <si>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</si>
  <si>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</si>
  <si>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</si>
  <si>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</si>
  <si>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</si>
  <si>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</si>
  <si>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</si>
  <si>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</si>
  <si>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</si>
  <si>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</si>
  <si>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</si>
  <si>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</si>
  <si>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</si>
  <si>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</si>
  <si>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</si>
  <si>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</si>
  <si>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</si>
  <si>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</si>
  <si>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</si>
  <si>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</si>
  <si>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</si>
  <si>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</si>
  <si>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</si>
  <si>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</si>
  <si>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</si>
  <si>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</si>
  <si>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</si>
  <si>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</si>
  <si>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</si>
  <si>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</si>
  <si>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</si>
  <si>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</si>
  <si>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</si>
  <si>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</si>
  <si>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</si>
  <si>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</si>
  <si>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</si>
  <si>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</si>
  <si>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</si>
  <si>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</si>
  <si>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</si>
  <si>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</si>
  <si>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</si>
  <si>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</si>
  <si>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</si>
  <si>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</si>
  <si>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</si>
  <si>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</si>
  <si>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</si>
  <si>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</si>
  <si>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</si>
  <si>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</si>
  <si>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</si>
  <si>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</si>
  <si>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</si>
  <si>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</si>
  <si>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</si>
  <si>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</si>
  <si>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</si>
  <si>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</si>
  <si>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</si>
  <si>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</si>
  <si>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</si>
  <si>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</si>
  <si>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</si>
  <si>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</si>
  <si>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</si>
  <si>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</si>
  <si>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</si>
  <si>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</si>
  <si>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</si>
  <si>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</si>
  <si>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</si>
  <si>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</si>
  <si>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</si>
  <si>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</si>
  <si>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</si>
  <si>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</si>
  <si>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</si>
  <si>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</si>
  <si>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</si>
  <si>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</si>
  <si>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</si>
  <si>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</si>
  <si>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</si>
  <si>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</si>
  <si>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</si>
  <si>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</si>
  <si>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</si>
  <si>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</si>
  <si>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</si>
  <si>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</si>
  <si>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</si>
  <si>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</si>
  <si>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</si>
  <si>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</si>
  <si>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</si>
  <si>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</si>
  <si>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</si>
  <si>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</si>
  <si>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</si>
  <si>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</si>
  <si>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</si>
  <si>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</si>
  <si>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</si>
  <si>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</si>
  <si>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</si>
  <si>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</si>
  <si>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</si>
  <si>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</si>
  <si>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</si>
  <si>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</si>
  <si>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</si>
  <si>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</si>
  <si>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</si>
  <si>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</si>
  <si>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</si>
  <si>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</si>
  <si>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</si>
  <si>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</si>
  <si>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</si>
  <si>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</si>
  <si>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</si>
  <si>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</si>
  <si>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</si>
  <si>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</si>
  <si>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</si>
  <si>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</si>
  <si>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</si>
  <si>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</si>
  <si>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</si>
  <si>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</si>
  <si>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</si>
  <si>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</si>
  <si>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</si>
  <si>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</si>
  <si>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</si>
  <si>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</si>
  <si>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</si>
  <si>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</si>
  <si>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</si>
  <si>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</si>
  <si>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</si>
  <si>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</si>
  <si>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</si>
  <si>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</si>
  <si>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</si>
  <si>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</si>
  <si>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</si>
  <si>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</si>
  <si>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</si>
  <si>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</si>
  <si>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</si>
  <si>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</si>
  <si>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</si>
  <si>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</si>
  <si>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</si>
  <si>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</si>
  <si>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</si>
  <si>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</si>
  <si>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</si>
  <si>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</si>
  <si>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</si>
  <si>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</si>
  <si>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</si>
  <si>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</si>
  <si>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</si>
  <si>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</si>
  <si>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</si>
  <si>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</si>
  <si>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</si>
  <si>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</si>
  <si>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</si>
  <si>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</si>
  <si>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</si>
  <si>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</si>
  <si>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</si>
  <si>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</si>
  <si>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</si>
  <si>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</si>
  <si>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</si>
  <si>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</si>
  <si>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</si>
  <si>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</si>
  <si>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</si>
  <si>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</si>
  <si>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</si>
  <si>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</si>
  <si>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</si>
  <si>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</si>
  <si>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</si>
  <si>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</si>
  <si>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</si>
  <si>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</si>
  <si>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</si>
  <si>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</si>
  <si>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</si>
  <si>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</si>
  <si>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</si>
  <si>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</si>
  <si>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</si>
  <si>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</si>
  <si>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</si>
  <si>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</si>
  <si>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</si>
  <si>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</si>
  <si>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</si>
  <si>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</si>
  <si>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</si>
  <si>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</si>
  <si>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</si>
  <si>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</si>
  <si>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</si>
  <si>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</si>
  <si>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</si>
  <si>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</si>
  <si>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</si>
  <si>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</si>
  <si>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</si>
  <si>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</si>
  <si>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</si>
  <si>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</si>
  <si>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</si>
  <si>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</si>
  <si>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</si>
  <si>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</si>
  <si>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</si>
  <si>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</si>
  <si>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</si>
  <si>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</si>
  <si>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</si>
  <si>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</si>
  <si>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</si>
  <si>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</si>
  <si>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</si>
  <si>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</si>
  <si>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</si>
  <si>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</si>
  <si>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</si>
  <si>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</si>
  <si>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</si>
  <si>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</si>
  <si>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</si>
  <si>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</si>
  <si>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</si>
  <si>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</si>
  <si>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</si>
  <si>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</si>
  <si>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</si>
  <si>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</si>
  <si>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</si>
  <si>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</si>
  <si>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</si>
  <si>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</si>
  <si>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</si>
  <si>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</si>
  <si>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</si>
  <si>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</si>
  <si>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</si>
  <si>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</si>
  <si>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</si>
  <si>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</si>
  <si>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</si>
  <si>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</si>
  <si>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</si>
  <si>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</si>
  <si>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</si>
  <si>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</si>
  <si>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</si>
  <si>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</si>
  <si>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</si>
  <si>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</si>
  <si>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</si>
  <si>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</si>
  <si>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</si>
  <si>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</si>
  <si>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</si>
  <si>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</si>
  <si>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</si>
  <si>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</si>
  <si>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</si>
  <si>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</si>
  <si>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</si>
  <si>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</si>
  <si>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</si>
  <si>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</si>
  <si>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</si>
  <si>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</si>
  <si>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</si>
  <si>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</si>
  <si>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</si>
  <si>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</si>
  <si>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</si>
  <si>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</si>
  <si>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</si>
  <si>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</si>
  <si>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</si>
  <si>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</si>
  <si>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</si>
  <si>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</si>
  <si>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</si>
  <si>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</si>
  <si>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</si>
  <si>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</si>
  <si>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</si>
  <si>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</si>
  <si>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</si>
  <si>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</si>
  <si>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</si>
  <si>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</si>
  <si>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</si>
  <si>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</si>
  <si>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</si>
  <si>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</si>
  <si>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</si>
  <si>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</si>
  <si>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</si>
  <si>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</si>
  <si>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</si>
  <si>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</si>
  <si>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</si>
  <si>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</si>
  <si>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</si>
  <si>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</si>
  <si>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</si>
  <si>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</si>
  <si>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</si>
  <si>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</si>
  <si>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</si>
  <si>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</si>
  <si>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</si>
  <si>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</si>
  <si>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</si>
  <si>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</si>
  <si>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</si>
  <si>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</si>
  <si>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</si>
  <si>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</si>
  <si>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</si>
  <si>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</si>
  <si>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</si>
  <si>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</si>
  <si>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</si>
  <si>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</si>
  <si>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</si>
  <si>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</si>
  <si>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</si>
  <si>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</si>
  <si>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</si>
  <si>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</si>
  <si>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</si>
  <si>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</si>
  <si>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</si>
  <si>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</si>
  <si>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</si>
  <si>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</si>
  <si>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</si>
  <si>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</si>
  <si>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</si>
  <si>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</si>
  <si>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</si>
  <si>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</si>
  <si>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</si>
  <si>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</si>
  <si>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</si>
  <si>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</si>
  <si>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</si>
  <si>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</si>
  <si>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</si>
  <si>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</si>
  <si>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</si>
  <si>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</si>
  <si>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</si>
  <si>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</si>
  <si>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</si>
  <si>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</si>
  <si>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</si>
  <si>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</si>
  <si>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</si>
  <si>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</si>
  <si>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</si>
  <si>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</si>
  <si>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</si>
  <si>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</si>
  <si>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</si>
  <si>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</si>
  <si>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</si>
  <si>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</si>
  <si>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</si>
  <si>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</si>
  <si>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</si>
  <si>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</si>
  <si>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</si>
  <si>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</si>
  <si>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</si>
  <si>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</si>
  <si>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</si>
  <si>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</si>
  <si>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</si>
  <si>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</si>
  <si>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</si>
  <si>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</si>
  <si>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</si>
  <si>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</si>
  <si>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</si>
  <si>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</si>
  <si>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</si>
  <si>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</si>
  <si>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</si>
  <si>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</si>
  <si>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</si>
  <si>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</si>
  <si>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</si>
  <si>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</si>
  <si>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</si>
  <si>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</si>
  <si>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</si>
  <si>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</si>
  <si>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</si>
  <si>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</si>
  <si>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</si>
  <si>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</si>
  <si>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</si>
  <si>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</si>
  <si>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</si>
  <si>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</si>
  <si>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</si>
  <si>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</si>
  <si>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</si>
  <si>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</si>
  <si>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</si>
  <si>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</si>
  <si>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</si>
  <si>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</si>
  <si>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</si>
  <si>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</si>
  <si>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</si>
  <si>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</si>
  <si>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</si>
  <si>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</si>
  <si>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</si>
  <si>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</si>
  <si>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</si>
  <si>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</si>
  <si>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</si>
  <si>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</si>
  <si>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</si>
  <si>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</si>
  <si>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</si>
  <si>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</si>
  <si>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</si>
  <si>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</si>
  <si>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</si>
  <si>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</si>
  <si>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</si>
  <si>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</si>
  <si>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</si>
  <si>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</si>
  <si>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</si>
  <si>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</si>
  <si>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</si>
  <si>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</si>
  <si>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</si>
  <si>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</si>
  <si>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</si>
  <si>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</si>
  <si>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</si>
  <si>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</si>
  <si>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</si>
  <si>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</si>
  <si>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</si>
  <si>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</si>
  <si>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</si>
  <si>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</si>
  <si>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</si>
  <si>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</si>
  <si>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</si>
  <si>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</si>
  <si>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</si>
  <si>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</si>
  <si>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</si>
  <si>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</si>
  <si>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</si>
  <si>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</si>
  <si>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</si>
  <si>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</si>
  <si>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</si>
  <si>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</si>
  <si>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</si>
  <si>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</si>
  <si>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</si>
  <si>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</si>
  <si>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</si>
  <si>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</si>
  <si>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</si>
  <si>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</si>
  <si>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</si>
  <si>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</si>
  <si>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</si>
  <si>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</si>
  <si>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</si>
  <si>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</si>
  <si>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</si>
  <si>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</si>
  <si>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</si>
  <si>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</si>
  <si>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</si>
  <si>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</si>
  <si>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</si>
  <si>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</si>
  <si>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</si>
  <si>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</si>
  <si>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</si>
  <si>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</si>
  <si>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</si>
  <si>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</si>
  <si>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</si>
  <si>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</si>
  <si>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</si>
  <si>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</si>
  <si>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</si>
  <si>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</si>
  <si>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</si>
  <si>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</si>
  <si>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</si>
  <si>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</si>
  <si>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</si>
  <si>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</si>
  <si>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</si>
  <si>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</si>
  <si>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</si>
  <si>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</si>
  <si>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</si>
  <si>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</si>
  <si>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</si>
  <si>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</si>
  <si>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</si>
  <si>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</si>
  <si>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</si>
  <si>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</si>
  <si>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</si>
  <si>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</si>
  <si>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</si>
  <si>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</si>
  <si>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</si>
  <si>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</si>
  <si>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</si>
  <si>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</si>
  <si>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</si>
  <si>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</si>
  <si>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</si>
  <si>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</si>
  <si>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</si>
  <si>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</si>
  <si>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</si>
  <si>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</si>
  <si>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</si>
  <si>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</si>
  <si>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</si>
  <si>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</si>
  <si>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</si>
  <si>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</si>
  <si>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</si>
  <si>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</si>
  <si>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</si>
  <si>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</si>
  <si>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</si>
  <si>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</si>
  <si>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</si>
  <si>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</si>
  <si>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</si>
  <si>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</si>
  <si>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</si>
  <si>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</si>
  <si>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</si>
  <si>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</si>
  <si>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</si>
  <si>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</si>
  <si>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</si>
  <si>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</si>
  <si>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</si>
  <si>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</si>
  <si>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</si>
  <si>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</si>
  <si>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</si>
  <si>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</si>
  <si>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</si>
  <si>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</si>
  <si>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</si>
  <si>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</si>
  <si>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</si>
  <si>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</si>
  <si>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</si>
  <si>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</si>
  <si>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</si>
  <si>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</si>
  <si>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</si>
  <si>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</si>
  <si>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</si>
  <si>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</si>
  <si>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</si>
  <si>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</si>
  <si>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</si>
  <si>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</si>
  <si>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</si>
  <si>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</si>
  <si>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</si>
  <si>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</si>
  <si>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</si>
  <si>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</si>
  <si>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</si>
  <si>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</si>
  <si>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</si>
  <si>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</si>
  <si>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</si>
  <si>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</si>
  <si>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</si>
  <si>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</si>
  <si>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</si>
  <si>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</si>
  <si>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</si>
  <si>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</si>
  <si>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</si>
  <si>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</si>
  <si>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</si>
  <si>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</si>
  <si>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</si>
  <si>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</si>
  <si>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</si>
  <si>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</si>
  <si>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</si>
  <si>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</si>
  <si>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</si>
  <si>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</si>
  <si>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</si>
  <si>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</si>
  <si>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</si>
  <si>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</si>
  <si>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</si>
  <si>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</si>
  <si>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</si>
  <si>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</si>
  <si>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</si>
  <si>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</si>
  <si>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</si>
  <si>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</si>
  <si>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</si>
  <si>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</si>
  <si>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</si>
  <si>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</si>
  <si>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</si>
  <si>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</si>
  <si>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</si>
  <si>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</si>
  <si>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</si>
  <si>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</si>
  <si>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</si>
  <si>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</si>
  <si>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</si>
  <si>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</si>
  <si>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</si>
  <si>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</si>
  <si>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</si>
  <si>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</si>
  <si>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</si>
  <si>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</si>
  <si>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</si>
  <si>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</si>
  <si>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</si>
  <si>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</si>
  <si>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</si>
  <si>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</si>
  <si>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</si>
  <si>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</si>
  <si>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</si>
  <si>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</si>
  <si>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</si>
  <si>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</si>
  <si>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</si>
  <si>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</si>
  <si>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</si>
  <si>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</si>
  <si>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</si>
  <si>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</si>
  <si>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</si>
  <si>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</si>
  <si>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</si>
  <si>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</si>
  <si>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</si>
  <si>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</si>
  <si>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</si>
  <si>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</si>
  <si>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</si>
  <si>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</si>
  <si>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</si>
  <si>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</si>
  <si>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</si>
  <si>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</si>
  <si>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</si>
  <si>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</si>
  <si>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</si>
  <si>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</si>
  <si>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</si>
  <si>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</si>
  <si>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</si>
  <si>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</si>
  <si>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</si>
  <si>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</si>
  <si>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</si>
  <si>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</si>
  <si>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</si>
  <si>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</si>
  <si>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</si>
  <si>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</si>
  <si>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</si>
  <si>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</si>
  <si>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</si>
  <si>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</si>
  <si>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</si>
  <si>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</si>
  <si>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</si>
  <si>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</si>
  <si>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</si>
  <si>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</si>
  <si>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</si>
  <si>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</si>
  <si>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</si>
  <si>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</si>
  <si>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</si>
  <si>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</si>
  <si>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</si>
  <si>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</si>
  <si>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</si>
  <si>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</si>
  <si>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</si>
  <si>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</si>
  <si>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</si>
  <si>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</si>
  <si>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</si>
  <si>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</si>
  <si>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</si>
  <si>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</si>
  <si>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</si>
  <si>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</si>
  <si>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</si>
  <si>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</si>
  <si>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</si>
  <si>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</si>
  <si>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</si>
  <si>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</si>
  <si>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</si>
  <si>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</si>
  <si>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</si>
  <si>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</si>
  <si>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</si>
  <si>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</si>
  <si>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</si>
  <si>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</si>
  <si>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</si>
  <si>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</si>
  <si>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</si>
  <si>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</si>
  <si>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</si>
  <si>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</si>
  <si>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</si>
  <si>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</si>
  <si>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</si>
  <si>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</si>
  <si>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</si>
  <si>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</si>
  <si>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</si>
  <si>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</si>
  <si>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</si>
  <si>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</si>
  <si>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</si>
  <si>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</si>
  <si>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</si>
  <si>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</si>
  <si>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</si>
  <si>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</si>
  <si>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</si>
  <si>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</si>
  <si>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</si>
  <si>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</si>
  <si>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</si>
  <si>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</si>
  <si>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</si>
  <si>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</si>
  <si>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</si>
  <si>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</si>
  <si>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</si>
  <si>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</si>
  <si>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</si>
  <si>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</si>
  <si>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</si>
  <si>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</si>
  <si>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</si>
  <si>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</si>
  <si>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</si>
  <si>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</si>
  <si>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</si>
  <si>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</si>
  <si>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</si>
  <si>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</si>
  <si>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</si>
  <si>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</si>
  <si>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</si>
  <si>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</si>
  <si>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</si>
  <si>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</si>
  <si>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</si>
  <si>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</si>
  <si>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</si>
  <si>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</si>
  <si>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</si>
  <si>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</si>
  <si>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</si>
  <si>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</si>
  <si>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</si>
  <si>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</si>
  <si>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</si>
  <si>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</si>
  <si>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</si>
  <si>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</si>
  <si>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</si>
  <si>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</si>
  <si>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</si>
  <si>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</si>
  <si>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</si>
  <si>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</si>
  <si>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</si>
  <si>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</si>
  <si>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</si>
  <si>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</si>
  <si>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</si>
  <si>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</si>
  <si>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</si>
  <si>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</si>
  <si>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</si>
  <si>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</si>
  <si>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</si>
  <si>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</si>
  <si>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</si>
  <si>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</si>
  <si>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</si>
  <si>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</si>
  <si>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</si>
  <si>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</si>
  <si>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</si>
  <si>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</si>
  <si>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</si>
  <si>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</si>
  <si>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</si>
  <si>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</si>
  <si>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</si>
  <si>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</si>
  <si>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</si>
  <si>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</si>
  <si>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</si>
  <si>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</si>
  <si>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</si>
  <si>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</si>
  <si>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</si>
  <si>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</si>
  <si>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</si>
  <si>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</si>
  <si>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</si>
  <si>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</si>
  <si>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</si>
  <si>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</si>
  <si>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</si>
  <si>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</si>
  <si>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</si>
  <si>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</si>
  <si>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</si>
  <si>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</si>
  <si>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</si>
  <si>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</si>
  <si>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</si>
  <si>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</si>
  <si>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</si>
  <si>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</si>
  <si>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</si>
  <si>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</si>
  <si>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</si>
  <si>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</si>
  <si>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</si>
  <si>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</si>
  <si>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</si>
  <si>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</si>
  <si>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</si>
  <si>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</si>
  <si>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</si>
  <si>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</si>
  <si>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</si>
  <si>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</si>
  <si>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</si>
  <si>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</si>
  <si>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</si>
  <si>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</si>
  <si>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</si>
  <si>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</si>
  <si>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</si>
  <si>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</si>
  <si>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</si>
  <si>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</si>
  <si>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</si>
  <si>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</si>
  <si>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</si>
  <si>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</si>
  <si>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</si>
  <si>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</si>
  <si>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</si>
  <si>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</si>
  <si>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</si>
  <si>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</si>
  <si>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</si>
  <si>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</si>
  <si>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</si>
  <si>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</si>
  <si>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</si>
  <si>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</si>
  <si>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</si>
  <si>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</si>
  <si>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</si>
  <si>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</si>
  <si>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</si>
  <si>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</si>
  <si>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</si>
  <si>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</si>
  <si>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</si>
  <si>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</si>
  <si>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</si>
  <si>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</si>
  <si>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</si>
  <si>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</si>
  <si>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</si>
  <si>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</si>
  <si>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</si>
  <si>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</si>
  <si>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</si>
  <si>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</si>
  <si>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</si>
  <si>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</si>
  <si>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</si>
  <si>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</si>
  <si>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</si>
  <si>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</si>
  <si>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</si>
  <si>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</si>
  <si>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</si>
  <si>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</si>
  <si>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</si>
  <si>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</si>
  <si>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</si>
  <si>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</si>
  <si>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</si>
  <si>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</si>
  <si>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</si>
  <si>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</si>
  <si>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</si>
  <si>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</si>
  <si>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</si>
  <si>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</si>
  <si>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</si>
  <si>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</si>
  <si>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</si>
  <si>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</si>
  <si>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</si>
  <si>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</si>
  <si>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</si>
  <si>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</si>
  <si>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</si>
  <si>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</si>
  <si>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</si>
  <si>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</si>
  <si>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</si>
  <si>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</si>
  <si>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</si>
  <si>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</si>
  <si>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</si>
  <si>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</si>
  <si>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</si>
  <si>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</si>
  <si>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</si>
  <si>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</si>
  <si>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</si>
  <si>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</si>
  <si>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</si>
  <si>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</si>
  <si>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</si>
  <si>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</si>
  <si>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</si>
  <si>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</si>
  <si>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</si>
  <si>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</si>
  <si>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</si>
  <si>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</si>
  <si>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</si>
  <si>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</si>
  <si>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</si>
  <si>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</si>
  <si>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</si>
  <si>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</si>
  <si>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</si>
  <si>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</si>
  <si>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</si>
  <si>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</si>
  <si>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</si>
  <si>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</si>
  <si>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</si>
  <si>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</si>
  <si>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</si>
  <si>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</si>
  <si>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</si>
  <si>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</si>
  <si>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</si>
  <si>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</si>
  <si>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</si>
  <si>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</si>
  <si>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</si>
  <si>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</si>
  <si>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</si>
  <si>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</si>
  <si>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</si>
  <si>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</si>
  <si>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</si>
  <si>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</si>
  <si>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</si>
  <si>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</si>
  <si>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</si>
  <si>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</si>
  <si>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</si>
  <si>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</si>
  <si>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</si>
  <si>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</si>
  <si>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</si>
  <si>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</si>
  <si>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</si>
  <si>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</si>
  <si>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</si>
  <si>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</si>
  <si>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</si>
  <si>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</si>
  <si>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</si>
  <si>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</si>
  <si>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</si>
  <si>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</si>
  <si>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</si>
  <si>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</si>
  <si>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</si>
  <si>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</si>
  <si>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</si>
  <si>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</si>
  <si>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</si>
  <si>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</si>
  <si>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</si>
  <si>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</si>
  <si>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</si>
  <si>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</si>
  <si>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</si>
  <si>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</si>
  <si>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</si>
  <si>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</si>
  <si>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</si>
  <si>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</si>
  <si>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</si>
  <si>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</si>
  <si>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</si>
  <si>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</si>
  <si>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</si>
  <si>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</si>
  <si>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</si>
  <si>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</si>
  <si>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</si>
  <si>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</si>
  <si>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</si>
  <si>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</si>
  <si>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</si>
  <si>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</si>
  <si>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</si>
  <si>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</si>
  <si>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</si>
  <si>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</si>
  <si>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</si>
  <si>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</si>
  <si>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</si>
  <si>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</si>
  <si>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</si>
  <si>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</si>
  <si>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</si>
  <si>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</si>
  <si>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</si>
  <si>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</si>
  <si>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</si>
  <si>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</si>
  <si>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</si>
  <si>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</si>
  <si>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</si>
  <si>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</si>
  <si>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</si>
  <si>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</si>
  <si>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</si>
  <si>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</si>
  <si>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</si>
  <si>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</si>
  <si>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</si>
  <si>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</si>
  <si>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</si>
  <si>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</si>
  <si>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</si>
  <si>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</si>
  <si>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</si>
  <si>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</si>
  <si>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</si>
  <si>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</si>
  <si>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</si>
  <si>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</si>
  <si>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</si>
  <si>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</si>
  <si>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</si>
  <si>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</si>
  <si>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</si>
  <si>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</si>
  <si>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</si>
  <si>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</si>
  <si>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</si>
  <si>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</si>
  <si>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</si>
  <si>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</si>
  <si>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</si>
  <si>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</si>
  <si>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</si>
  <si>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</si>
  <si>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</si>
  <si>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</si>
  <si>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</si>
  <si>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</si>
  <si>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</si>
  <si>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</si>
  <si>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</si>
  <si>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</si>
  <si>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</si>
  <si>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</si>
  <si>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</si>
  <si>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</si>
  <si>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</si>
  <si>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</si>
  <si>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</si>
  <si>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</si>
  <si>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</si>
  <si>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</si>
  <si>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</si>
  <si>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</si>
  <si>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</si>
  <si>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</si>
  <si>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</si>
  <si>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</si>
  <si>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</si>
  <si>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</si>
  <si>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</si>
  <si>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</si>
  <si>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</si>
  <si>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</si>
  <si>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</si>
  <si>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</si>
  <si>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</si>
  <si>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</si>
  <si>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</si>
  <si>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</si>
  <si>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</si>
  <si>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</si>
  <si>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</si>
  <si>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</si>
  <si>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</si>
  <si>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</si>
  <si>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</si>
  <si>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</si>
  <si>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</si>
  <si>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</si>
  <si>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</si>
  <si>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</si>
  <si>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</si>
  <si>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</si>
  <si>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</si>
  <si>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</si>
  <si>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</si>
  <si>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</si>
  <si>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</si>
  <si>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</si>
  <si>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</si>
  <si>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</si>
  <si>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</si>
  <si>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</si>
  <si>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</si>
  <si>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</si>
  <si>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</si>
  <si>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</si>
  <si>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</si>
  <si>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</si>
  <si>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</si>
  <si>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</si>
  <si>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</si>
  <si>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</si>
  <si>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</si>
  <si>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</si>
  <si>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</si>
  <si>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</si>
  <si>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</si>
  <si>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</si>
  <si>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</si>
  <si>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</si>
  <si>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</si>
  <si>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</si>
  <si>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</si>
  <si>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</si>
  <si>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</si>
  <si>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</si>
  <si>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</si>
  <si>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</si>
  <si>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</si>
  <si>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</si>
  <si>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</si>
  <si>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</si>
  <si>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</si>
  <si>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</si>
  <si>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</si>
  <si>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</si>
  <si>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</si>
  <si>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</si>
  <si>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</si>
  <si>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</si>
  <si>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</si>
  <si>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</si>
  <si>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</si>
  <si>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</si>
  <si>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</si>
  <si>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</si>
  <si>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</si>
  <si>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</si>
  <si>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</si>
  <si>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</si>
  <si>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</si>
  <si>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</si>
  <si>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</si>
  <si>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</si>
  <si>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</si>
  <si>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</si>
  <si>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</si>
  <si>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</si>
  <si>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</si>
  <si>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</si>
  <si>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</si>
  <si>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</si>
  <si>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</si>
  <si>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</si>
  <si>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</si>
  <si>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</si>
  <si>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</si>
  <si>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</si>
  <si>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</si>
  <si>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</si>
  <si>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</si>
  <si>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</si>
  <si>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</si>
  <si>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</si>
  <si>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</si>
  <si>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</si>
  <si>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</si>
  <si>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</si>
  <si>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</si>
  <si>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</si>
  <si>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</si>
  <si>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</si>
  <si>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</si>
  <si>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</si>
  <si>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</si>
  <si>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</si>
  <si>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</si>
  <si>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</si>
  <si>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</si>
  <si>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</si>
  <si>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</si>
  <si>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</si>
  <si>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</si>
  <si>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</si>
  <si>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</si>
  <si>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</si>
  <si>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</si>
  <si>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</si>
  <si>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</si>
  <si>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</si>
  <si>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</si>
  <si>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</si>
  <si>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</si>
  <si>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</si>
  <si>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</si>
  <si>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</si>
  <si>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</si>
  <si>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</si>
  <si>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</si>
  <si>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</si>
  <si>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</si>
  <si>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</si>
  <si>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</si>
  <si>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</si>
  <si>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</si>
  <si>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</si>
  <si>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</si>
  <si>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</si>
  <si>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</si>
  <si>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</si>
  <si>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</si>
  <si>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</si>
  <si>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</si>
  <si>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</si>
  <si>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</si>
  <si>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</si>
  <si>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</si>
  <si>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</si>
  <si>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</si>
  <si>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</si>
  <si>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</si>
  <si>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</si>
  <si>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</si>
  <si>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</si>
  <si>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</si>
  <si>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</si>
  <si>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</si>
  <si>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</si>
  <si>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</si>
  <si>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</si>
  <si>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</si>
  <si>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</si>
  <si>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</si>
  <si>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</si>
  <si>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</si>
  <si>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</si>
  <si>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</si>
  <si>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</si>
  <si>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</si>
  <si>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</si>
  <si>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</si>
  <si>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</si>
  <si>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</si>
  <si>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</si>
  <si>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</si>
  <si>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</si>
  <si>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</si>
  <si>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</si>
  <si>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</si>
  <si>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</si>
  <si>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</si>
  <si>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</si>
  <si>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</si>
  <si>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</si>
  <si>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</si>
  <si>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</si>
  <si>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</si>
  <si>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</si>
  <si>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</si>
  <si>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</si>
  <si>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</si>
  <si>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</si>
  <si>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</si>
  <si>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</si>
  <si>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</si>
  <si>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</si>
  <si>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</si>
  <si>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</si>
  <si>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</si>
  <si>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</si>
  <si>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</si>
  <si>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</si>
  <si>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</si>
  <si>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</si>
  <si>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</si>
  <si>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</si>
  <si>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</si>
  <si>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</si>
  <si>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</si>
  <si>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</si>
  <si>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</si>
  <si>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</si>
  <si>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</si>
  <si>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</si>
  <si>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</si>
  <si>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</si>
  <si>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</si>
  <si>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</si>
  <si>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</si>
  <si>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</si>
  <si>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</si>
  <si>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</si>
  <si>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</si>
  <si>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</si>
  <si>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</si>
  <si>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</si>
  <si>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</si>
  <si>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</si>
  <si>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</si>
  <si>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</si>
  <si>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</si>
  <si>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</si>
  <si>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</si>
  <si>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</si>
  <si>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</si>
  <si>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</si>
  <si>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</si>
  <si>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</si>
  <si>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</si>
  <si>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</si>
  <si>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</si>
  <si>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</si>
  <si>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</si>
  <si>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</si>
  <si>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</si>
  <si>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</si>
  <si>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</si>
  <si>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</si>
  <si>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</si>
  <si>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</si>
  <si>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</si>
  <si>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</si>
  <si>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</si>
  <si>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</si>
  <si>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</si>
  <si>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</si>
  <si>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</si>
  <si>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</si>
  <si>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</si>
  <si>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</si>
  <si>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</si>
  <si>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</si>
  <si>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</si>
  <si>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</si>
  <si>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</si>
  <si>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</si>
  <si>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</si>
  <si>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</si>
  <si>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</si>
  <si>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</si>
  <si>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</si>
  <si>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</si>
  <si>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</si>
  <si>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</si>
  <si>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</si>
  <si>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</si>
  <si>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</si>
  <si>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</si>
  <si>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</si>
  <si>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</si>
  <si>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</si>
  <si>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</si>
  <si>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</si>
  <si>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</si>
  <si>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</si>
  <si>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</si>
  <si>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</si>
  <si>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</si>
  <si>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</si>
  <si>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</si>
  <si>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</si>
  <si>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</si>
  <si>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</si>
  <si>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</si>
  <si>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</si>
  <si>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</si>
  <si>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</si>
  <si>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</si>
  <si>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</si>
  <si>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</si>
  <si>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</si>
  <si>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</si>
  <si>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</si>
  <si>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</si>
  <si>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</si>
  <si>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</si>
  <si>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</si>
  <si>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</si>
  <si>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</si>
  <si>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</si>
  <si>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</si>
  <si>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</si>
  <si>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</si>
  <si>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</si>
  <si>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</si>
  <si>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</si>
  <si>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</si>
  <si>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</si>
  <si>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</si>
  <si>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</si>
  <si>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</si>
  <si>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</si>
  <si>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</si>
  <si>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</si>
  <si>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</si>
  <si>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</si>
  <si>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</si>
  <si>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</si>
  <si>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</si>
  <si>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</si>
  <si>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</si>
  <si>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</si>
  <si>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</si>
  <si>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</si>
  <si>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</si>
  <si>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</si>
  <si>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</si>
  <si>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</si>
  <si>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</si>
  <si>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</si>
  <si>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</si>
  <si>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</si>
  <si>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</si>
  <si>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</si>
  <si>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</si>
  <si>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</si>
  <si>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</si>
  <si>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</si>
  <si>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</si>
  <si>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</si>
  <si>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</si>
  <si>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</si>
  <si>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</si>
  <si>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</si>
  <si>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</si>
  <si>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</si>
  <si>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</si>
  <si>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</si>
  <si>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</si>
  <si>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</si>
  <si>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</si>
  <si>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</si>
  <si>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</si>
  <si>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</si>
  <si>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</si>
  <si>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</si>
  <si>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</si>
  <si>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</si>
  <si>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</si>
  <si>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</si>
  <si>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</si>
  <si>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</si>
  <si>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</si>
  <si>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</si>
  <si>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</si>
  <si>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</si>
  <si>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</si>
  <si>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</si>
  <si>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</si>
  <si>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</si>
  <si>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</si>
  <si>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</si>
  <si>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</si>
  <si>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</si>
  <si>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</si>
  <si>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</si>
  <si>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</si>
  <si>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</si>
  <si>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</si>
  <si>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</si>
  <si>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</si>
  <si>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</si>
  <si>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</si>
  <si>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</si>
  <si>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</si>
  <si>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</si>
  <si>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</si>
  <si>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</si>
  <si>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</si>
  <si>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</si>
  <si>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</si>
  <si>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</si>
  <si>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</si>
  <si>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</si>
  <si>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</si>
  <si>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</si>
  <si>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</si>
  <si>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</si>
  <si>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</si>
  <si>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</si>
  <si>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</si>
  <si>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</si>
  <si>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</si>
  <si>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</si>
  <si>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</si>
  <si>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</si>
  <si>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</si>
  <si>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</si>
  <si>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</si>
  <si>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</si>
  <si>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</si>
  <si>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</si>
  <si>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</si>
  <si>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</si>
  <si>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</si>
  <si>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</si>
  <si>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</si>
  <si>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</si>
  <si>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</si>
  <si>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</si>
  <si>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</si>
  <si>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</si>
  <si>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</si>
  <si>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</si>
  <si>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</si>
  <si>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</si>
  <si>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</si>
  <si>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</si>
  <si>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</si>
  <si>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</si>
  <si>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</si>
  <si>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</si>
  <si>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</si>
  <si>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</si>
  <si>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</si>
  <si>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</si>
  <si>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</si>
  <si>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</si>
  <si>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</si>
  <si>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</si>
  <si>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</si>
  <si>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</si>
  <si>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</si>
  <si>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</si>
  <si>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</si>
  <si>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</si>
  <si>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</si>
  <si>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</si>
  <si>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</si>
  <si>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</si>
  <si>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</si>
  <si>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</si>
  <si>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</si>
  <si>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</si>
  <si>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</si>
  <si>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</si>
  <si>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</si>
  <si>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</si>
  <si>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</si>
  <si>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</si>
  <si>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</si>
  <si>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</si>
  <si>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</si>
  <si>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</si>
  <si>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</si>
  <si>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</si>
  <si>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</si>
  <si>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</si>
  <si>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</si>
  <si>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</si>
  <si>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</si>
  <si>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</si>
  <si>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</si>
  <si>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</si>
  <si>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</si>
  <si>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</si>
  <si>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</si>
  <si>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</si>
  <si>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</si>
  <si>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</si>
  <si>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</si>
  <si>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</si>
  <si>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</si>
  <si>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</si>
  <si>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</si>
  <si>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</si>
  <si>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</si>
  <si>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</si>
  <si>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</si>
  <si>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</si>
  <si>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</si>
  <si>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</si>
  <si>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</si>
  <si>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</si>
  <si>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</si>
  <si>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</si>
  <si>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</si>
  <si>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</si>
  <si>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</si>
  <si>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</si>
  <si>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</si>
  <si>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</si>
  <si>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</si>
  <si>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</si>
  <si>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</si>
  <si>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</si>
  <si>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</si>
  <si>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</si>
  <si>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</si>
  <si>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</si>
  <si>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</si>
  <si>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</si>
  <si>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</si>
  <si>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</si>
  <si>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</si>
  <si>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</si>
  <si>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</si>
  <si>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</si>
  <si>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</si>
  <si>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</si>
  <si>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</si>
  <si>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</si>
  <si>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</si>
  <si>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</si>
  <si>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</si>
  <si>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</si>
  <si>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</si>
  <si>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</si>
  <si>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</si>
  <si>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Sum of Quantity</t>
  </si>
  <si>
    <t>Row Labels</t>
  </si>
  <si>
    <t>Grand Total</t>
  </si>
  <si>
    <t>Total Orders</t>
  </si>
  <si>
    <t>Avg. Orders</t>
  </si>
  <si>
    <t>Sum of TotalPrice</t>
  </si>
  <si>
    <t>Count of Order Status</t>
  </si>
  <si>
    <t>Count of CustomerID</t>
  </si>
  <si>
    <t>Average of TotalPrice</t>
  </si>
  <si>
    <t>Average of Quantity</t>
  </si>
  <si>
    <t>2024</t>
  </si>
  <si>
    <t>2023</t>
  </si>
  <si>
    <t>2025</t>
  </si>
  <si>
    <t>AOV</t>
  </si>
  <si>
    <t>Cancellation Rate</t>
  </si>
  <si>
    <t>Return Rate</t>
  </si>
  <si>
    <t>Most unique Customer(C38840)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</si>
</sst>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numFmt numFmtId="165" formatCode="&quot;$&quot;#,##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44" fontId="0" fillId="0" borderId="0" xfId="1" applyFont="1"/>
  </cellXfs>
  <cellStyles count="2">
    <cellStyle name="Currency" xfId="1" builtinId="4"/>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ill>
        <patternFill>
          <bgColor theme="0" tint="-4.9989318521683403E-2"/>
        </patternFill>
      </fill>
    </dxf>
  </dxfs>
  <tableStyles count="1" defaultTableStyle="TableStyleMedium9" defaultPivotStyle="PivotStyleLight16">
    <tableStyle name="Slicer Style 1" pivot="0" table="0" count="4" xr9:uid="{356F65AB-D9CC-4DD7-B0DE-645FA1A63681}">
      <tableStyleElement type="wholeTable" dxfId="10"/>
    </tableStyle>
  </tableStyles>
  <colors>
    <mruColors>
      <color rgb="FF98BAE4"/>
      <color rgb="FF7AA6DC"/>
      <color rgb="FF377BCD"/>
      <color rgb="FF245794"/>
      <color rgb="FF22518A"/>
      <color rgb="FF2B65AB"/>
      <color rgb="FF9EBFE6"/>
      <color rgb="FF1C416E"/>
      <color rgb="FF224F86"/>
      <color rgb="FF2960A3"/>
    </mruColors>
  </colors>
  <extLst>
    <ext xmlns:x14="http://schemas.microsoft.com/office/spreadsheetml/2009/9/main" uri="{46F421CA-312F-682f-3DD2-61675219B42D}">
      <x14:dxfs count="3">
        <dxf>
          <font>
            <color theme="0"/>
          </font>
          <fill>
            <patternFill>
              <bgColor rgb="FF1D2B47"/>
            </patternFill>
          </fill>
        </dxf>
        <dxf>
          <fill>
            <patternFill>
              <bgColor theme="3" tint="-0.499984740745262"/>
            </patternFill>
          </fill>
        </dxf>
        <dxf>
          <font>
            <color theme="0"/>
          </font>
          <fill>
            <patternFill>
              <bgColor rgb="FFEAEAE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TABLE!PivotTable3</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TABLE'!$K$3</c:f>
              <c:strCache>
                <c:ptCount val="1"/>
                <c:pt idx="0">
                  <c:v>Sum of TotalPrice</c:v>
                </c:pt>
              </c:strCache>
            </c:strRef>
          </c:tx>
          <c:spPr>
            <a:solidFill>
              <a:schemeClr val="accent2"/>
            </a:solidFill>
            <a:ln>
              <a:noFill/>
            </a:ln>
            <a:effectLst/>
          </c:spPr>
          <c:invertIfNegative val="0"/>
          <c:cat>
            <c:strRef>
              <c:f>'PIVOT TABLE'!$I$4:$I$11</c:f>
              <c:strCache>
                <c:ptCount val="7"/>
                <c:pt idx="0">
                  <c:v>Chair</c:v>
                </c:pt>
                <c:pt idx="1">
                  <c:v>Printer</c:v>
                </c:pt>
                <c:pt idx="2">
                  <c:v>Laptop</c:v>
                </c:pt>
                <c:pt idx="3">
                  <c:v>Tablet</c:v>
                </c:pt>
                <c:pt idx="4">
                  <c:v>Monitor</c:v>
                </c:pt>
                <c:pt idx="5">
                  <c:v>Desk</c:v>
                </c:pt>
                <c:pt idx="6">
                  <c:v>Phone</c:v>
                </c:pt>
              </c:strCache>
            </c:strRef>
          </c:cat>
          <c:val>
            <c:numRef>
              <c:f>'PIVOT TABLE'!$K$4:$K$11</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9D89-4990-8702-1F07AA30D275}"/>
            </c:ext>
          </c:extLst>
        </c:ser>
        <c:dLbls>
          <c:showLegendKey val="0"/>
          <c:showVal val="0"/>
          <c:showCatName val="0"/>
          <c:showSerName val="0"/>
          <c:showPercent val="0"/>
          <c:showBubbleSize val="0"/>
        </c:dLbls>
        <c:gapWidth val="219"/>
        <c:axId val="1204207743"/>
        <c:axId val="877399359"/>
      </c:barChart>
      <c:lineChart>
        <c:grouping val="standard"/>
        <c:varyColors val="0"/>
        <c:ser>
          <c:idx val="0"/>
          <c:order val="0"/>
          <c:tx>
            <c:strRef>
              <c:f>'PIVOT TABLE'!$J$3</c:f>
              <c:strCache>
                <c:ptCount val="1"/>
                <c:pt idx="0">
                  <c:v>Sum of Quantity</c:v>
                </c:pt>
              </c:strCache>
            </c:strRef>
          </c:tx>
          <c:spPr>
            <a:ln w="28575" cap="rnd">
              <a:solidFill>
                <a:schemeClr val="accent1"/>
              </a:solidFill>
              <a:round/>
            </a:ln>
            <a:effectLst/>
          </c:spPr>
          <c:marker>
            <c:symbol val="none"/>
          </c:marker>
          <c:cat>
            <c:strRef>
              <c:f>'PIVOT TABLE'!$I$4:$I$11</c:f>
              <c:strCache>
                <c:ptCount val="7"/>
                <c:pt idx="0">
                  <c:v>Chair</c:v>
                </c:pt>
                <c:pt idx="1">
                  <c:v>Printer</c:v>
                </c:pt>
                <c:pt idx="2">
                  <c:v>Laptop</c:v>
                </c:pt>
                <c:pt idx="3">
                  <c:v>Tablet</c:v>
                </c:pt>
                <c:pt idx="4">
                  <c:v>Monitor</c:v>
                </c:pt>
                <c:pt idx="5">
                  <c:v>Desk</c:v>
                </c:pt>
                <c:pt idx="6">
                  <c:v>Phone</c:v>
                </c:pt>
              </c:strCache>
            </c:strRef>
          </c:cat>
          <c:val>
            <c:numRef>
              <c:f>'PIVOT TABLE'!$J$4:$J$11</c:f>
              <c:numCache>
                <c:formatCode>General</c:formatCode>
                <c:ptCount val="7"/>
                <c:pt idx="0">
                  <c:v>562</c:v>
                </c:pt>
                <c:pt idx="1">
                  <c:v>542</c:v>
                </c:pt>
                <c:pt idx="2">
                  <c:v>535</c:v>
                </c:pt>
                <c:pt idx="3">
                  <c:v>497</c:v>
                </c:pt>
                <c:pt idx="4">
                  <c:v>480</c:v>
                </c:pt>
                <c:pt idx="5">
                  <c:v>508</c:v>
                </c:pt>
                <c:pt idx="6">
                  <c:v>411</c:v>
                </c:pt>
              </c:numCache>
            </c:numRef>
          </c:val>
          <c:smooth val="0"/>
          <c:extLst>
            <c:ext xmlns:c16="http://schemas.microsoft.com/office/drawing/2014/chart" uri="{C3380CC4-5D6E-409C-BE32-E72D297353CC}">
              <c16:uniqueId val="{00000001-9D89-4990-8702-1F07AA30D275}"/>
            </c:ext>
          </c:extLst>
        </c:ser>
        <c:dLbls>
          <c:showLegendKey val="0"/>
          <c:showVal val="0"/>
          <c:showCatName val="0"/>
          <c:showSerName val="0"/>
          <c:showPercent val="0"/>
          <c:showBubbleSize val="0"/>
        </c:dLbls>
        <c:marker val="1"/>
        <c:smooth val="0"/>
        <c:axId val="1204228623"/>
        <c:axId val="1130698239"/>
      </c:lineChart>
      <c:catAx>
        <c:axId val="12042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399359"/>
        <c:crosses val="autoZero"/>
        <c:auto val="1"/>
        <c:lblAlgn val="ctr"/>
        <c:lblOffset val="100"/>
        <c:noMultiLvlLbl val="0"/>
      </c:catAx>
      <c:valAx>
        <c:axId val="877399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07743"/>
        <c:crosses val="autoZero"/>
        <c:crossBetween val="between"/>
      </c:valAx>
      <c:valAx>
        <c:axId val="11306982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28623"/>
        <c:crosses val="max"/>
        <c:crossBetween val="between"/>
      </c:valAx>
      <c:catAx>
        <c:axId val="1204228623"/>
        <c:scaling>
          <c:orientation val="minMax"/>
        </c:scaling>
        <c:delete val="1"/>
        <c:axPos val="b"/>
        <c:numFmt formatCode="General" sourceLinked="1"/>
        <c:majorTickMark val="out"/>
        <c:minorTickMark val="none"/>
        <c:tickLblPos val="nextTo"/>
        <c:crossAx val="1130698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TABLE'!$A$23:$A$28</c:f>
              <c:strCache>
                <c:ptCount val="5"/>
                <c:pt idx="0">
                  <c:v>Instagram</c:v>
                </c:pt>
                <c:pt idx="1">
                  <c:v>Email</c:v>
                </c:pt>
                <c:pt idx="2">
                  <c:v>Google</c:v>
                </c:pt>
                <c:pt idx="3">
                  <c:v>Facebook</c:v>
                </c:pt>
                <c:pt idx="4">
                  <c:v>Referral</c:v>
                </c:pt>
              </c:strCache>
            </c:strRef>
          </c:cat>
          <c:val>
            <c:numRef>
              <c:f>'PIVOT TABLE'!$B$23:$B$28</c:f>
              <c:numCache>
                <c:formatCode>"$"#,##0.00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F3EC-4643-BE31-C3395AEDCD70}"/>
            </c:ext>
          </c:extLst>
        </c:ser>
        <c:dLbls>
          <c:showLegendKey val="0"/>
          <c:showVal val="0"/>
          <c:showCatName val="0"/>
          <c:showSerName val="0"/>
          <c:showPercent val="0"/>
          <c:showBubbleSize val="0"/>
        </c:dLbls>
        <c:gapWidth val="219"/>
        <c:overlap val="-27"/>
        <c:axId val="1204245791"/>
        <c:axId val="1122014959"/>
      </c:barChart>
      <c:catAx>
        <c:axId val="1204245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14959"/>
        <c:crosses val="autoZero"/>
        <c:auto val="1"/>
        <c:lblAlgn val="ctr"/>
        <c:lblOffset val="100"/>
        <c:noMultiLvlLbl val="0"/>
      </c:catAx>
      <c:valAx>
        <c:axId val="1122014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4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TABLE'!$D$13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9F4-4CB3-85AF-FA36FD2BB7B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9F4-4CB3-85AF-FA36FD2BB7B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9F4-4CB3-85AF-FA36FD2BB7B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9F4-4CB3-85AF-FA36FD2BB7B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9F4-4CB3-85AF-FA36FD2BB7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TABLE'!$C$14:$C$19</c:f>
              <c:strCache>
                <c:ptCount val="5"/>
                <c:pt idx="0">
                  <c:v>Delivered</c:v>
                </c:pt>
                <c:pt idx="1">
                  <c:v>Returned</c:v>
                </c:pt>
                <c:pt idx="2">
                  <c:v>Shipped</c:v>
                </c:pt>
                <c:pt idx="3">
                  <c:v>Pending</c:v>
                </c:pt>
                <c:pt idx="4">
                  <c:v>Cancelled</c:v>
                </c:pt>
              </c:strCache>
            </c:strRef>
          </c:cat>
          <c:val>
            <c:numRef>
              <c:f>'PIVOT TABLE'!$D$14:$D$19</c:f>
              <c:numCache>
                <c:formatCode>"$"#,##0.00</c:formatCode>
                <c:ptCount val="5"/>
                <c:pt idx="0">
                  <c:v>242600.31999999998</c:v>
                </c:pt>
                <c:pt idx="1">
                  <c:v>243277.70000000013</c:v>
                </c:pt>
                <c:pt idx="2">
                  <c:v>246159.57999999987</c:v>
                </c:pt>
                <c:pt idx="3">
                  <c:v>256328.15000000002</c:v>
                </c:pt>
                <c:pt idx="4">
                  <c:v>276396.20999999996</c:v>
                </c:pt>
              </c:numCache>
            </c:numRef>
          </c:val>
          <c:extLst>
            <c:ext xmlns:c16="http://schemas.microsoft.com/office/drawing/2014/chart" uri="{C3380CC4-5D6E-409C-BE32-E72D297353CC}">
              <c16:uniqueId val="{0000000A-09F4-4CB3-85AF-FA36FD2BB7B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TABLE'!$H$33:$H$36</c:f>
              <c:strCache>
                <c:ptCount val="3"/>
                <c:pt idx="0">
                  <c:v>2023</c:v>
                </c:pt>
                <c:pt idx="1">
                  <c:v>2024</c:v>
                </c:pt>
                <c:pt idx="2">
                  <c:v>2025</c:v>
                </c:pt>
              </c:strCache>
            </c:strRef>
          </c:cat>
          <c:val>
            <c:numRef>
              <c:f>'PIVOT TABLE'!$I$33:$I$36</c:f>
              <c:numCache>
                <c:formatCode>"$"#,##0.00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BF78-43CC-ADB0-33C124556C12}"/>
            </c:ext>
          </c:extLst>
        </c:ser>
        <c:dLbls>
          <c:showLegendKey val="0"/>
          <c:showVal val="0"/>
          <c:showCatName val="0"/>
          <c:showSerName val="0"/>
          <c:showPercent val="0"/>
          <c:showBubbleSize val="0"/>
        </c:dLbls>
        <c:marker val="1"/>
        <c:smooth val="0"/>
        <c:axId val="1182344223"/>
        <c:axId val="1122045679"/>
      </c:lineChart>
      <c:catAx>
        <c:axId val="11823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5679"/>
        <c:crosses val="autoZero"/>
        <c:auto val="1"/>
        <c:lblAlgn val="ctr"/>
        <c:lblOffset val="100"/>
        <c:noMultiLvlLbl val="0"/>
      </c:catAx>
      <c:valAx>
        <c:axId val="1122045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3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TABLE'!$J$13</c:f>
              <c:strCache>
                <c:ptCount val="1"/>
                <c:pt idx="0">
                  <c:v>Total</c:v>
                </c:pt>
              </c:strCache>
            </c:strRef>
          </c:tx>
          <c:spPr>
            <a:solidFill>
              <a:schemeClr val="accent1"/>
            </a:solidFill>
            <a:ln>
              <a:noFill/>
            </a:ln>
            <a:effectLst/>
          </c:spPr>
          <c:invertIfNegative val="0"/>
          <c:cat>
            <c:strRef>
              <c:f>'PIVOT TABLE'!$I$14:$I$19</c:f>
              <c:strCache>
                <c:ptCount val="5"/>
                <c:pt idx="0">
                  <c:v>Credit Card</c:v>
                </c:pt>
                <c:pt idx="1">
                  <c:v>Online</c:v>
                </c:pt>
                <c:pt idx="2">
                  <c:v>Cash</c:v>
                </c:pt>
                <c:pt idx="3">
                  <c:v>Gift Card</c:v>
                </c:pt>
                <c:pt idx="4">
                  <c:v>Debit Card</c:v>
                </c:pt>
              </c:strCache>
            </c:strRef>
          </c:cat>
          <c:val>
            <c:numRef>
              <c:f>'PIVOT TABLE'!$J$14:$J$19</c:f>
              <c:numCache>
                <c:formatCode>"$"#,##0.00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9276-4C06-AE33-0AE8911AC54E}"/>
            </c:ext>
          </c:extLst>
        </c:ser>
        <c:dLbls>
          <c:showLegendKey val="0"/>
          <c:showVal val="0"/>
          <c:showCatName val="0"/>
          <c:showSerName val="0"/>
          <c:showPercent val="0"/>
          <c:showBubbleSize val="0"/>
        </c:dLbls>
        <c:gapWidth val="219"/>
        <c:overlap val="-27"/>
        <c:axId val="1278225311"/>
        <c:axId val="1130719839"/>
      </c:barChart>
      <c:catAx>
        <c:axId val="12782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19839"/>
        <c:crosses val="autoZero"/>
        <c:auto val="1"/>
        <c:lblAlgn val="ctr"/>
        <c:lblOffset val="100"/>
        <c:noMultiLvlLbl val="0"/>
      </c:catAx>
      <c:valAx>
        <c:axId val="1130719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1.9444444444444497E-2"/>
              <c:y val="-0.125"/>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0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s>
    <c:plotArea>
      <c:layout/>
      <c:doughnutChart>
        <c:varyColors val="1"/>
        <c:ser>
          <c:idx val="0"/>
          <c:order val="0"/>
          <c:tx>
            <c:strRef>
              <c:f>'PIVOT TABLE'!$F$22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52-40EF-B04B-F495F229F0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52-40EF-B04B-F495F229F0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52-40EF-B04B-F495F229F0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54-457E-A042-873997617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TABLE'!$E$23:$E$26</c:f>
              <c:strCache>
                <c:ptCount val="3"/>
                <c:pt idx="0">
                  <c:v>WINTER15</c:v>
                </c:pt>
                <c:pt idx="1">
                  <c:v>SAVE10</c:v>
                </c:pt>
                <c:pt idx="2">
                  <c:v>FREESHIP</c:v>
                </c:pt>
              </c:strCache>
            </c:strRef>
          </c:cat>
          <c:val>
            <c:numRef>
              <c:f>'PIVOT TABLE'!$F$23:$F$26</c:f>
              <c:numCache>
                <c:formatCode>"$"#,##0.00</c:formatCode>
                <c:ptCount val="3"/>
                <c:pt idx="0">
                  <c:v>302483.54000000015</c:v>
                </c:pt>
                <c:pt idx="1">
                  <c:v>304840.02000000008</c:v>
                </c:pt>
                <c:pt idx="2">
                  <c:v>335036.99000000028</c:v>
                </c:pt>
              </c:numCache>
            </c:numRef>
          </c:val>
          <c:extLst>
            <c:ext xmlns:c16="http://schemas.microsoft.com/office/drawing/2014/chart" uri="{C3380CC4-5D6E-409C-BE32-E72D297353CC}">
              <c16:uniqueId val="{00000011-A6B2-420E-BC6E-8D725C61C7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TABLE!PivotTable5</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rgbClr val="0F2339"/>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9"/>
        <c:spPr>
          <a:solidFill>
            <a:srgbClr val="0F2339"/>
          </a:solidFill>
          <a:ln>
            <a:noFill/>
          </a:ln>
          <a:effectLst/>
          <a:scene3d>
            <a:camera prst="orthographicFront"/>
            <a:lightRig rig="brightRoom" dir="t"/>
          </a:scene3d>
          <a:sp3d prstMaterial="flat">
            <a:bevelT w="50800" h="101600" prst="angle"/>
            <a:contourClr>
              <a:srgbClr val="000000"/>
            </a:contourClr>
          </a:sp3d>
        </c:spPr>
      </c:pivotFmt>
      <c:pivotFmt>
        <c:idx val="50"/>
        <c:spPr>
          <a:solidFill>
            <a:srgbClr val="0F2339">
              <a:alpha val="10000"/>
            </a:srgb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F2339"/>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rgbClr val="0F2339">
              <a:alpha val="67000"/>
            </a:srgbClr>
          </a:solidFill>
          <a:ln>
            <a:noFill/>
          </a:ln>
          <a:effectLst/>
          <a:scene3d>
            <a:camera prst="orthographicFront"/>
            <a:lightRig rig="brightRoom" dir="t"/>
          </a:scene3d>
          <a:sp3d prstMaterial="flat">
            <a:bevelT w="50800" h="101600" prst="angle"/>
            <a:contourClr>
              <a:srgbClr val="000000"/>
            </a:contourClr>
          </a:sp3d>
        </c:spPr>
      </c:pivotFmt>
      <c:pivotFmt>
        <c:idx val="52"/>
        <c:spPr>
          <a:solidFill>
            <a:srgbClr val="0F2339">
              <a:alpha val="85000"/>
            </a:srgbClr>
          </a:solidFill>
          <a:ln>
            <a:noFill/>
          </a:ln>
          <a:effectLst/>
          <a:scene3d>
            <a:camera prst="orthographicFront"/>
            <a:lightRig rig="brightRoom" dir="t"/>
          </a:scene3d>
          <a:sp3d prstMaterial="flat">
            <a:bevelT w="50800" h="101600" prst="angle"/>
            <a:contourClr>
              <a:srgbClr val="000000"/>
            </a:contourClr>
          </a:sp3d>
        </c:spPr>
      </c:pivotFmt>
      <c:pivotFmt>
        <c:idx val="53"/>
        <c:spPr>
          <a:solidFill>
            <a:srgbClr val="0F2339">
              <a:alpha val="37000"/>
            </a:srgbClr>
          </a:solidFill>
          <a:ln>
            <a:noFill/>
          </a:ln>
          <a:effectLst/>
          <a:scene3d>
            <a:camera prst="orthographicFront"/>
            <a:lightRig rig="brightRoom" dir="t"/>
          </a:scene3d>
          <a:sp3d prstMaterial="flat">
            <a:bevelT w="50800" h="101600" prst="angle"/>
            <a:contourClr>
              <a:srgbClr val="000000"/>
            </a:contourClr>
          </a:sp3d>
        </c:spPr>
      </c:pivotFmt>
      <c:pivotFmt>
        <c:idx val="54"/>
        <c:spPr>
          <a:solidFill>
            <a:srgbClr val="0F2339"/>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0F2339"/>
          </a:solidFill>
          <a:ln>
            <a:noFill/>
          </a:ln>
          <a:effectLst/>
          <a:scene3d>
            <a:camera prst="orthographicFront"/>
            <a:lightRig rig="brightRoom" dir="t"/>
          </a:scene3d>
          <a:sp3d prstMaterial="flat">
            <a:bevelT w="50800" h="101600" prst="angle"/>
            <a:contourClr>
              <a:srgbClr val="000000"/>
            </a:contourClr>
          </a:sp3d>
        </c:spPr>
        <c:dLbl>
          <c:idx val="0"/>
          <c:layout>
            <c:manualLayout>
              <c:x val="-2.7877368266844064E-2"/>
              <c:y val="0"/>
            </c:manualLayout>
          </c:layout>
          <c:tx>
            <c:rich>
              <a:bodyPr rot="0" spcFirstLastPara="1" vertOverflow="ellipsis" vert="horz" wrap="square" lIns="38100" tIns="19050" rIns="38100" bIns="19050" anchor="ctr" anchorCtr="1">
                <a:noAutofit/>
              </a:bodyPr>
              <a:lstStyle/>
              <a:p>
                <a:pPr>
                  <a:defRPr sz="900" b="1" i="0" u="none" strike="noStrike" kern="1200" baseline="0">
                    <a:solidFill>
                      <a:sysClr val="window" lastClr="FFFFFF">
                        <a:alpha val="80000"/>
                      </a:sysClr>
                    </a:solidFill>
                    <a:latin typeface="+mn-lt"/>
                    <a:ea typeface="+mn-ea"/>
                    <a:cs typeface="+mn-cs"/>
                  </a:defRPr>
                </a:pPr>
                <a:fld id="{140B2A35-2E69-4808-BC76-103D385E1D3A}" type="VALUE">
                  <a:rPr lang="en-US">
                    <a:solidFill>
                      <a:schemeClr val="tx1">
                        <a:lumMod val="95000"/>
                        <a:lumOff val="5000"/>
                        <a:alpha val="80000"/>
                      </a:schemeClr>
                    </a:solidFill>
                  </a:rPr>
                  <a:pPr>
                    <a:defRPr>
                      <a:solidFill>
                        <a:sysClr val="window" lastClr="FFFFFF">
                          <a:alpha val="80000"/>
                        </a:sys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 lastClr="FFFFFF">
                      <a:alpha val="80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93784898000339"/>
                  <c:h val="0.2162544457508071"/>
                </c:manualLayout>
              </c15:layout>
              <c15:dlblFieldTable/>
              <c15:showDataLabelsRange val="0"/>
            </c:ext>
          </c:extLst>
        </c:dLbl>
      </c:pivotFmt>
      <c:pivotFmt>
        <c:idx val="56"/>
        <c:spPr>
          <a:solidFill>
            <a:srgbClr val="0F2339">
              <a:alpha val="10000"/>
            </a:srgbClr>
          </a:solidFill>
          <a:ln>
            <a:noFill/>
          </a:ln>
          <a:effectLst/>
          <a:scene3d>
            <a:camera prst="orthographicFront"/>
            <a:lightRig rig="brightRoom" dir="t"/>
          </a:scene3d>
          <a:sp3d prstMaterial="flat">
            <a:bevelT w="50800" h="101600" prst="angle"/>
            <a:contourClr>
              <a:srgbClr val="000000"/>
            </a:contourClr>
          </a:sp3d>
        </c:spPr>
        <c:dLbl>
          <c:idx val="0"/>
          <c:layout>
            <c:manualLayout>
              <c:x val="-3.8487962131106696E-2"/>
              <c:y val="5.165160687196928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19742745934271"/>
                  <c:h val="0.19469785575048734"/>
                </c:manualLayout>
              </c15:layout>
            </c:ext>
          </c:extLst>
        </c:dLbl>
      </c:pivotFmt>
      <c:pivotFmt>
        <c:idx val="57"/>
        <c:spPr>
          <a:solidFill>
            <a:srgbClr val="0F2339">
              <a:alpha val="78000"/>
            </a:srgbClr>
          </a:solidFill>
          <a:ln>
            <a:noFill/>
          </a:ln>
          <a:effectLst/>
          <a:scene3d>
            <a:camera prst="orthographicFront"/>
            <a:lightRig rig="brightRoom" dir="t"/>
          </a:scene3d>
          <a:sp3d prstMaterial="flat">
            <a:bevelT w="50800" h="101600" prst="angle"/>
            <a:contourClr>
              <a:srgbClr val="000000"/>
            </a:contourClr>
          </a:sp3d>
        </c:spPr>
        <c:dLbl>
          <c:idx val="0"/>
          <c:layout>
            <c:manualLayout>
              <c:x val="-3.2769282358299928E-2"/>
              <c:y val="1.1309327513972489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C38A5964-C27C-4EB1-AA99-33D5960FCC32}" type="VALUE">
                  <a:rPr lang="en-US">
                    <a:solidFill>
                      <a:schemeClr val="tx1">
                        <a:lumMod val="95000"/>
                        <a:lumOff val="5000"/>
                      </a:schemeClr>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51507958321879"/>
                  <c:h val="0.18670857218234635"/>
                </c:manualLayout>
              </c15:layout>
              <c15:dlblFieldTable/>
              <c15:showDataLabelsRange val="0"/>
            </c:ext>
          </c:extLst>
        </c:dLbl>
      </c:pivotFmt>
      <c:pivotFmt>
        <c:idx val="58"/>
        <c:spPr>
          <a:solidFill>
            <a:srgbClr val="0F2339">
              <a:alpha val="30000"/>
            </a:srgbClr>
          </a:solidFill>
          <a:ln>
            <a:noFill/>
          </a:ln>
          <a:effectLst/>
          <a:scene3d>
            <a:camera prst="orthographicFront"/>
            <a:lightRig rig="brightRoom" dir="t"/>
          </a:scene3d>
          <a:sp3d prstMaterial="flat">
            <a:bevelT w="50800" h="101600" prst="angle"/>
            <a:contourClr>
              <a:srgbClr val="000000"/>
            </a:contourClr>
          </a:sp3d>
        </c:spPr>
        <c:dLbl>
          <c:idx val="0"/>
          <c:layout>
            <c:manualLayout>
              <c:x val="-1.8187820701561046E-2"/>
              <c:y val="6.8564841234106447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35581454191945"/>
                  <c:h val="0.22972437759488698"/>
                </c:manualLayout>
              </c15:layout>
            </c:ext>
          </c:extLst>
        </c:dLbl>
      </c:pivotFmt>
      <c:pivotFmt>
        <c:idx val="59"/>
        <c:spPr>
          <a:solidFill>
            <a:srgbClr val="0F2339">
              <a:alpha val="47000"/>
            </a:srgbClr>
          </a:solidFill>
          <a:ln>
            <a:noFill/>
          </a:ln>
          <a:effectLst/>
          <a:scene3d>
            <a:camera prst="orthographicFront"/>
            <a:lightRig rig="brightRoom" dir="t"/>
          </a:scene3d>
          <a:sp3d prstMaterial="flat">
            <a:bevelT w="50800" h="101600" prst="angle"/>
            <a:contourClr>
              <a:srgbClr val="000000"/>
            </a:contourClr>
          </a:sp3d>
        </c:spPr>
        <c:dLbl>
          <c:idx val="0"/>
          <c:layout>
            <c:manualLayout>
              <c:x val="-3.0505340097792741E-2"/>
              <c:y val="9.58473966293971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85746115388425"/>
                  <c:h val="0.19469785575048734"/>
                </c:manualLayout>
              </c15:layout>
            </c:ext>
          </c:extLst>
        </c:dLbl>
      </c:pivotFmt>
    </c:pivotFmts>
    <c:plotArea>
      <c:layout>
        <c:manualLayout>
          <c:layoutTarget val="inner"/>
          <c:xMode val="edge"/>
          <c:yMode val="edge"/>
          <c:x val="9.7697238361624847E-2"/>
          <c:y val="0.12592072172309668"/>
          <c:w val="0.47305341166475834"/>
          <c:h val="0.85222799888736267"/>
        </c:manualLayout>
      </c:layout>
      <c:barChart>
        <c:barDir val="bar"/>
        <c:grouping val="clustered"/>
        <c:varyColors val="0"/>
        <c:ser>
          <c:idx val="0"/>
          <c:order val="0"/>
          <c:tx>
            <c:strRef>
              <c:f>'PIVOT TABLE'!$D$13</c:f>
              <c:strCache>
                <c:ptCount val="1"/>
                <c:pt idx="0">
                  <c:v>Total</c:v>
                </c:pt>
              </c:strCache>
            </c:strRef>
          </c:tx>
          <c:spPr>
            <a:solidFill>
              <a:srgbClr val="0F2339"/>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rgbClr val="0F2339">
                  <a:alpha val="10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FBB-4713-985F-474869FFC07A}"/>
              </c:ext>
            </c:extLst>
          </c:dPt>
          <c:dPt>
            <c:idx val="1"/>
            <c:invertIfNegative val="0"/>
            <c:bubble3D val="0"/>
            <c:spPr>
              <a:solidFill>
                <a:srgbClr val="0F2339">
                  <a:alpha val="30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FBB-4713-985F-474869FFC07A}"/>
              </c:ext>
            </c:extLst>
          </c:dPt>
          <c:dPt>
            <c:idx val="2"/>
            <c:invertIfNegative val="0"/>
            <c:bubble3D val="0"/>
            <c:spPr>
              <a:solidFill>
                <a:srgbClr val="0F2339">
                  <a:alpha val="47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FBB-4713-985F-474869FFC07A}"/>
              </c:ext>
            </c:extLst>
          </c:dPt>
          <c:dPt>
            <c:idx val="3"/>
            <c:invertIfNegative val="0"/>
            <c:bubble3D val="0"/>
            <c:spPr>
              <a:solidFill>
                <a:srgbClr val="0F2339">
                  <a:alpha val="78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FBB-4713-985F-474869FFC07A}"/>
              </c:ext>
            </c:extLst>
          </c:dPt>
          <c:dPt>
            <c:idx val="4"/>
            <c:invertIfNegative val="0"/>
            <c:bubble3D val="0"/>
            <c:spPr>
              <a:solidFill>
                <a:srgbClr val="0F233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FBB-4713-985F-474869FFC07A}"/>
              </c:ext>
            </c:extLst>
          </c:dPt>
          <c:dLbls>
            <c:dLbl>
              <c:idx val="0"/>
              <c:layout>
                <c:manualLayout>
                  <c:x val="-3.8487962131106696E-2"/>
                  <c:y val="5.165160687196928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19742745934271"/>
                      <c:h val="0.19469785575048734"/>
                    </c:manualLayout>
                  </c15:layout>
                </c:ext>
                <c:ext xmlns:c16="http://schemas.microsoft.com/office/drawing/2014/chart" uri="{C3380CC4-5D6E-409C-BE32-E72D297353CC}">
                  <c16:uniqueId val="{00000001-4FBB-4713-985F-474869FFC07A}"/>
                </c:ext>
              </c:extLst>
            </c:dLbl>
            <c:dLbl>
              <c:idx val="1"/>
              <c:layout>
                <c:manualLayout>
                  <c:x val="-1.8187820701561046E-2"/>
                  <c:y val="6.8564841234106447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35581454191945"/>
                      <c:h val="0.22972437759488698"/>
                    </c:manualLayout>
                  </c15:layout>
                </c:ext>
                <c:ext xmlns:c16="http://schemas.microsoft.com/office/drawing/2014/chart" uri="{C3380CC4-5D6E-409C-BE32-E72D297353CC}">
                  <c16:uniqueId val="{00000003-4FBB-4713-985F-474869FFC07A}"/>
                </c:ext>
              </c:extLst>
            </c:dLbl>
            <c:dLbl>
              <c:idx val="2"/>
              <c:layout>
                <c:manualLayout>
                  <c:x val="-3.0505340097792741E-2"/>
                  <c:y val="9.58473966293971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85746115388425"/>
                      <c:h val="0.19469785575048734"/>
                    </c:manualLayout>
                  </c15:layout>
                </c:ext>
                <c:ext xmlns:c16="http://schemas.microsoft.com/office/drawing/2014/chart" uri="{C3380CC4-5D6E-409C-BE32-E72D297353CC}">
                  <c16:uniqueId val="{00000005-4FBB-4713-985F-474869FFC07A}"/>
                </c:ext>
              </c:extLst>
            </c:dLbl>
            <c:dLbl>
              <c:idx val="3"/>
              <c:layout>
                <c:manualLayout>
                  <c:x val="-3.2769282358299928E-2"/>
                  <c:y val="1.1309327513972489E-2"/>
                </c:manualLayout>
              </c:layout>
              <c:tx>
                <c:rich>
                  <a:bodyPr/>
                  <a:lstStyle/>
                  <a:p>
                    <a:fld id="{C38A5964-C27C-4EB1-AA99-33D5960FCC32}" type="VALUE">
                      <a:rPr lang="en-US">
                        <a:solidFill>
                          <a:schemeClr val="tx1">
                            <a:lumMod val="95000"/>
                            <a:lumOff val="5000"/>
                          </a:schemeClr>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6651507958321879"/>
                      <c:h val="0.18670857218234635"/>
                    </c:manualLayout>
                  </c15:layout>
                  <c15:dlblFieldTable/>
                  <c15:showDataLabelsRange val="0"/>
                </c:ext>
                <c:ext xmlns:c16="http://schemas.microsoft.com/office/drawing/2014/chart" uri="{C3380CC4-5D6E-409C-BE32-E72D297353CC}">
                  <c16:uniqueId val="{00000007-4FBB-4713-985F-474869FFC07A}"/>
                </c:ext>
              </c:extLst>
            </c:dLbl>
            <c:dLbl>
              <c:idx val="4"/>
              <c:layout>
                <c:manualLayout>
                  <c:x val="-2.7877368266844064E-2"/>
                  <c:y val="0"/>
                </c:manualLayout>
              </c:layout>
              <c:tx>
                <c:rich>
                  <a:bodyPr rot="0" spcFirstLastPara="1" vertOverflow="ellipsis" vert="horz" wrap="square" lIns="38100" tIns="19050" rIns="38100" bIns="19050" anchor="ctr" anchorCtr="1">
                    <a:noAutofit/>
                  </a:bodyPr>
                  <a:lstStyle/>
                  <a:p>
                    <a:pPr>
                      <a:defRPr sz="900" b="1" i="0" u="none" strike="noStrike" kern="1200" baseline="0">
                        <a:solidFill>
                          <a:sysClr val="window" lastClr="FFFFFF">
                            <a:alpha val="80000"/>
                          </a:sysClr>
                        </a:solidFill>
                        <a:latin typeface="+mn-lt"/>
                        <a:ea typeface="+mn-ea"/>
                        <a:cs typeface="+mn-cs"/>
                      </a:defRPr>
                    </a:pPr>
                    <a:fld id="{140B2A35-2E69-4808-BC76-103D385E1D3A}" type="VALUE">
                      <a:rPr lang="en-US">
                        <a:solidFill>
                          <a:schemeClr val="tx1">
                            <a:lumMod val="95000"/>
                            <a:lumOff val="5000"/>
                            <a:alpha val="80000"/>
                          </a:schemeClr>
                        </a:solidFill>
                      </a:rPr>
                      <a:pPr>
                        <a:defRPr>
                          <a:solidFill>
                            <a:sysClr val="window" lastClr="FFFFFF">
                              <a:alpha val="80000"/>
                            </a:sys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 lastClr="FFFFFF">
                          <a:alpha val="80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93784898000339"/>
                      <c:h val="0.2162544457508071"/>
                    </c:manualLayout>
                  </c15:layout>
                  <c15:dlblFieldTable/>
                  <c15:showDataLabelsRange val="0"/>
                </c:ext>
                <c:ext xmlns:c16="http://schemas.microsoft.com/office/drawing/2014/chart" uri="{C3380CC4-5D6E-409C-BE32-E72D297353CC}">
                  <c16:uniqueId val="{00000009-4FBB-4713-985F-474869FFC07A}"/>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TABLE'!$C$14:$C$19</c:f>
              <c:strCache>
                <c:ptCount val="5"/>
                <c:pt idx="0">
                  <c:v>Delivered</c:v>
                </c:pt>
                <c:pt idx="1">
                  <c:v>Returned</c:v>
                </c:pt>
                <c:pt idx="2">
                  <c:v>Shipped</c:v>
                </c:pt>
                <c:pt idx="3">
                  <c:v>Pending</c:v>
                </c:pt>
                <c:pt idx="4">
                  <c:v>Cancelled</c:v>
                </c:pt>
              </c:strCache>
            </c:strRef>
          </c:cat>
          <c:val>
            <c:numRef>
              <c:f>'PIVOT TABLE'!$D$14:$D$19</c:f>
              <c:numCache>
                <c:formatCode>"$"#,##0.00</c:formatCode>
                <c:ptCount val="5"/>
                <c:pt idx="0">
                  <c:v>242600.31999999998</c:v>
                </c:pt>
                <c:pt idx="1">
                  <c:v>243277.70000000013</c:v>
                </c:pt>
                <c:pt idx="2">
                  <c:v>246159.57999999987</c:v>
                </c:pt>
                <c:pt idx="3">
                  <c:v>256328.15000000002</c:v>
                </c:pt>
                <c:pt idx="4">
                  <c:v>276396.20999999996</c:v>
                </c:pt>
              </c:numCache>
            </c:numRef>
          </c:val>
          <c:extLst>
            <c:ext xmlns:c16="http://schemas.microsoft.com/office/drawing/2014/chart" uri="{C3380CC4-5D6E-409C-BE32-E72D297353CC}">
              <c16:uniqueId val="{0000000A-4FBB-4713-985F-474869FFC07A}"/>
            </c:ext>
          </c:extLst>
        </c:ser>
        <c:dLbls>
          <c:showLegendKey val="0"/>
          <c:showVal val="0"/>
          <c:showCatName val="0"/>
          <c:showSerName val="0"/>
          <c:showPercent val="0"/>
          <c:showBubbleSize val="0"/>
        </c:dLbls>
        <c:gapWidth val="100"/>
        <c:axId val="620002736"/>
        <c:axId val="288217280"/>
      </c:barChart>
      <c:valAx>
        <c:axId val="28821728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620002736"/>
        <c:crosses val="autoZero"/>
        <c:crossBetween val="between"/>
      </c:valAx>
      <c:catAx>
        <c:axId val="620002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217280"/>
        <c:crosses val="autoZero"/>
        <c:auto val="1"/>
        <c:lblAlgn val="ctr"/>
        <c:lblOffset val="100"/>
        <c:noMultiLvlLbl val="0"/>
      </c:catAx>
      <c:spPr>
        <a:noFill/>
        <a:ln>
          <a:noFill/>
        </a:ln>
        <a:effectLst/>
      </c:spPr>
    </c:plotArea>
    <c:legend>
      <c:legendPos val="r"/>
      <c:layout>
        <c:manualLayout>
          <c:xMode val="edge"/>
          <c:yMode val="edge"/>
          <c:x val="0.7588947104846604"/>
          <c:y val="0.2655515440710482"/>
          <c:w val="0.20515022485284531"/>
          <c:h val="0.61457153426378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TABLE!PivotTable10</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F233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F233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478335062090708"/>
                  <c:h val="0.18094202898550724"/>
                </c:manualLayout>
              </c15:layout>
            </c:ext>
          </c:extLst>
        </c:dLbl>
      </c:pivotFmt>
      <c:pivotFmt>
        <c:idx val="10"/>
        <c:spPr>
          <a:ln w="28575" cap="rnd">
            <a:solidFill>
              <a:srgbClr val="0F233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7955945949948069"/>
                  <c:h val="0.18094202898550724"/>
                </c:manualLayout>
              </c15:layout>
            </c:ext>
          </c:extLst>
        </c:dLbl>
      </c:pivotFmt>
      <c:pivotFmt>
        <c:idx val="11"/>
        <c:spPr>
          <a:ln w="28575" cap="rnd">
            <a:solidFill>
              <a:srgbClr val="0F233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552291796382231"/>
                  <c:h val="0.18094202898550724"/>
                </c:manualLayout>
              </c15:layout>
            </c:ext>
          </c:extLst>
        </c:dLbl>
      </c:pivotFmt>
    </c:pivotFmts>
    <c:plotArea>
      <c:layout>
        <c:manualLayout>
          <c:layoutTarget val="inner"/>
          <c:xMode val="edge"/>
          <c:yMode val="edge"/>
          <c:x val="0.30343393972642152"/>
          <c:y val="0.32608695652173914"/>
          <c:w val="0.48670789305253442"/>
          <c:h val="0.50740728061166263"/>
        </c:manualLayout>
      </c:layout>
      <c:lineChart>
        <c:grouping val="standard"/>
        <c:varyColors val="0"/>
        <c:ser>
          <c:idx val="0"/>
          <c:order val="0"/>
          <c:tx>
            <c:strRef>
              <c:f>'PIVOT TABLE'!$I$32</c:f>
              <c:strCache>
                <c:ptCount val="1"/>
                <c:pt idx="0">
                  <c:v>Total</c:v>
                </c:pt>
              </c:strCache>
            </c:strRef>
          </c:tx>
          <c:spPr>
            <a:ln w="28575" cap="rnd">
              <a:solidFill>
                <a:srgbClr val="0F2339"/>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0F2339"/>
                </a:solidFill>
                <a:round/>
              </a:ln>
              <a:effectLst/>
            </c:spPr>
            <c:extLst>
              <c:ext xmlns:c16="http://schemas.microsoft.com/office/drawing/2014/chart" uri="{C3380CC4-5D6E-409C-BE32-E72D297353CC}">
                <c16:uniqueId val="{00000001-C765-4A9F-8D4A-2C615E801818}"/>
              </c:ext>
            </c:extLst>
          </c:dPt>
          <c:dPt>
            <c:idx val="1"/>
            <c:marker>
              <c:symbol val="circle"/>
              <c:size val="5"/>
              <c:spPr>
                <a:solidFill>
                  <a:schemeClr val="accent1"/>
                </a:solidFill>
                <a:ln w="9525">
                  <a:solidFill>
                    <a:schemeClr val="accent1"/>
                  </a:solidFill>
                </a:ln>
                <a:effectLst/>
              </c:spPr>
            </c:marker>
            <c:bubble3D val="0"/>
            <c:spPr>
              <a:ln w="28575" cap="rnd">
                <a:solidFill>
                  <a:srgbClr val="0F2339"/>
                </a:solidFill>
                <a:round/>
              </a:ln>
              <a:effectLst/>
            </c:spPr>
            <c:extLst>
              <c:ext xmlns:c16="http://schemas.microsoft.com/office/drawing/2014/chart" uri="{C3380CC4-5D6E-409C-BE32-E72D297353CC}">
                <c16:uniqueId val="{00000002-C765-4A9F-8D4A-2C615E801818}"/>
              </c:ext>
            </c:extLst>
          </c:dPt>
          <c:dPt>
            <c:idx val="2"/>
            <c:marker>
              <c:symbol val="circle"/>
              <c:size val="5"/>
              <c:spPr>
                <a:solidFill>
                  <a:schemeClr val="accent1"/>
                </a:solidFill>
                <a:ln w="9525">
                  <a:solidFill>
                    <a:schemeClr val="accent1"/>
                  </a:solidFill>
                </a:ln>
                <a:effectLst/>
              </c:spPr>
            </c:marker>
            <c:bubble3D val="0"/>
            <c:spPr>
              <a:ln w="28575" cap="rnd">
                <a:solidFill>
                  <a:srgbClr val="0F2339"/>
                </a:solidFill>
                <a:round/>
              </a:ln>
              <a:effectLst/>
            </c:spPr>
            <c:extLst>
              <c:ext xmlns:c16="http://schemas.microsoft.com/office/drawing/2014/chart" uri="{C3380CC4-5D6E-409C-BE32-E72D297353CC}">
                <c16:uniqueId val="{00000003-C765-4A9F-8D4A-2C615E801818}"/>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3478335062090708"/>
                      <c:h val="0.18094202898550724"/>
                    </c:manualLayout>
                  </c15:layout>
                </c:ext>
                <c:ext xmlns:c16="http://schemas.microsoft.com/office/drawing/2014/chart" uri="{C3380CC4-5D6E-409C-BE32-E72D297353CC}">
                  <c16:uniqueId val="{00000001-C765-4A9F-8D4A-2C615E801818}"/>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7955945949948069"/>
                      <c:h val="0.18094202898550724"/>
                    </c:manualLayout>
                  </c15:layout>
                </c:ext>
                <c:ext xmlns:c16="http://schemas.microsoft.com/office/drawing/2014/chart" uri="{C3380CC4-5D6E-409C-BE32-E72D297353CC}">
                  <c16:uniqueId val="{00000002-C765-4A9F-8D4A-2C615E801818}"/>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24552291796382231"/>
                      <c:h val="0.18094202898550724"/>
                    </c:manualLayout>
                  </c15:layout>
                </c:ext>
                <c:ext xmlns:c16="http://schemas.microsoft.com/office/drawing/2014/chart" uri="{C3380CC4-5D6E-409C-BE32-E72D297353CC}">
                  <c16:uniqueId val="{00000003-C765-4A9F-8D4A-2C615E8018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TABLE'!$H$33:$H$36</c:f>
              <c:strCache>
                <c:ptCount val="3"/>
                <c:pt idx="0">
                  <c:v>2023</c:v>
                </c:pt>
                <c:pt idx="1">
                  <c:v>2024</c:v>
                </c:pt>
                <c:pt idx="2">
                  <c:v>2025</c:v>
                </c:pt>
              </c:strCache>
            </c:strRef>
          </c:cat>
          <c:val>
            <c:numRef>
              <c:f>'PIVOT TABLE'!$I$33:$I$36</c:f>
              <c:numCache>
                <c:formatCode>"$"#,##0.00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A8A3-4F95-AB47-508FF35B0AA7}"/>
            </c:ext>
          </c:extLst>
        </c:ser>
        <c:dLbls>
          <c:dLblPos val="t"/>
          <c:showLegendKey val="0"/>
          <c:showVal val="1"/>
          <c:showCatName val="0"/>
          <c:showSerName val="0"/>
          <c:showPercent val="0"/>
          <c:showBubbleSize val="0"/>
        </c:dLbls>
        <c:marker val="1"/>
        <c:smooth val="0"/>
        <c:axId val="1182344223"/>
        <c:axId val="1122045679"/>
      </c:lineChart>
      <c:catAx>
        <c:axId val="118234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22045679"/>
        <c:crosses val="autoZero"/>
        <c:auto val="1"/>
        <c:lblAlgn val="ctr"/>
        <c:lblOffset val="100"/>
        <c:noMultiLvlLbl val="0"/>
      </c:catAx>
      <c:valAx>
        <c:axId val="112204567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23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TABLE!PivotTable3</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2">
              <a:lumMod val="50000"/>
            </a:schemeClr>
          </a:solidFill>
          <a:ln>
            <a:noFill/>
          </a:ln>
          <a:effectLst/>
        </c:spPr>
      </c:pivotFmt>
      <c:pivotFmt>
        <c:idx val="23"/>
        <c:spPr>
          <a:solidFill>
            <a:srgbClr val="10253F"/>
          </a:solidFill>
          <a:ln>
            <a:noFill/>
          </a:ln>
          <a:effectLst/>
        </c:spPr>
      </c:pivotFmt>
      <c:pivotFmt>
        <c:idx val="24"/>
        <c:spPr>
          <a:solidFill>
            <a:srgbClr val="377BCD"/>
          </a:solidFill>
          <a:ln>
            <a:noFill/>
          </a:ln>
          <a:effectLst/>
        </c:spPr>
      </c:pivotFmt>
      <c:pivotFmt>
        <c:idx val="25"/>
        <c:spPr>
          <a:solidFill>
            <a:srgbClr val="377BCD"/>
          </a:solidFill>
          <a:ln>
            <a:noFill/>
          </a:ln>
          <a:effectLst/>
        </c:spPr>
      </c:pivotFmt>
      <c:pivotFmt>
        <c:idx val="26"/>
        <c:spPr>
          <a:solidFill>
            <a:srgbClr val="7AA6DC"/>
          </a:solidFill>
          <a:ln>
            <a:noFill/>
          </a:ln>
          <a:effectLst/>
        </c:spPr>
      </c:pivotFmt>
      <c:pivotFmt>
        <c:idx val="27"/>
        <c:spPr>
          <a:solidFill>
            <a:srgbClr val="98BAE4"/>
          </a:solidFill>
          <a:ln>
            <a:noFill/>
          </a:ln>
          <a:effectLst/>
        </c:spPr>
      </c:pivotFmt>
      <c:pivotFmt>
        <c:idx val="28"/>
        <c:spPr>
          <a:solidFill>
            <a:srgbClr val="C7DAF1"/>
          </a:solidFill>
          <a:ln>
            <a:noFill/>
          </a:ln>
          <a:effectLst/>
        </c:spPr>
      </c:pivotFmt>
    </c:pivotFmts>
    <c:plotArea>
      <c:layout/>
      <c:barChart>
        <c:barDir val="col"/>
        <c:grouping val="clustered"/>
        <c:varyColors val="0"/>
        <c:ser>
          <c:idx val="1"/>
          <c:order val="1"/>
          <c:tx>
            <c:strRef>
              <c:f>'PIVOT TABLE'!$K$3</c:f>
              <c:strCache>
                <c:ptCount val="1"/>
                <c:pt idx="0">
                  <c:v>Sum of TotalPrice</c:v>
                </c:pt>
              </c:strCache>
            </c:strRef>
          </c:tx>
          <c:spPr>
            <a:solidFill>
              <a:schemeClr val="tx2">
                <a:lumMod val="50000"/>
              </a:schemeClr>
            </a:solidFill>
            <a:ln>
              <a:noFill/>
            </a:ln>
            <a:effectLst/>
          </c:spPr>
          <c:invertIfNegative val="0"/>
          <c:dPt>
            <c:idx val="0"/>
            <c:invertIfNegative val="0"/>
            <c:bubble3D val="0"/>
            <c:spPr>
              <a:solidFill>
                <a:srgbClr val="10253F"/>
              </a:solidFill>
              <a:ln>
                <a:noFill/>
              </a:ln>
              <a:effectLst/>
            </c:spPr>
            <c:extLst>
              <c:ext xmlns:c16="http://schemas.microsoft.com/office/drawing/2014/chart" uri="{C3380CC4-5D6E-409C-BE32-E72D297353CC}">
                <c16:uniqueId val="{00000001-978E-442D-8681-56724D2D87DF}"/>
              </c:ext>
            </c:extLst>
          </c:dPt>
          <c:dPt>
            <c:idx val="2"/>
            <c:invertIfNegative val="0"/>
            <c:bubble3D val="0"/>
            <c:spPr>
              <a:solidFill>
                <a:srgbClr val="377BCD"/>
              </a:solidFill>
              <a:ln>
                <a:noFill/>
              </a:ln>
              <a:effectLst/>
            </c:spPr>
            <c:extLst>
              <c:ext xmlns:c16="http://schemas.microsoft.com/office/drawing/2014/chart" uri="{C3380CC4-5D6E-409C-BE32-E72D297353CC}">
                <c16:uniqueId val="{00000002-978E-442D-8681-56724D2D87DF}"/>
              </c:ext>
            </c:extLst>
          </c:dPt>
          <c:dPt>
            <c:idx val="3"/>
            <c:invertIfNegative val="0"/>
            <c:bubble3D val="0"/>
            <c:spPr>
              <a:solidFill>
                <a:srgbClr val="377BCD"/>
              </a:solidFill>
              <a:ln>
                <a:noFill/>
              </a:ln>
              <a:effectLst/>
            </c:spPr>
            <c:extLst>
              <c:ext xmlns:c16="http://schemas.microsoft.com/office/drawing/2014/chart" uri="{C3380CC4-5D6E-409C-BE32-E72D297353CC}">
                <c16:uniqueId val="{00000004-978E-442D-8681-56724D2D87DF}"/>
              </c:ext>
            </c:extLst>
          </c:dPt>
          <c:dPt>
            <c:idx val="4"/>
            <c:invertIfNegative val="0"/>
            <c:bubble3D val="0"/>
            <c:spPr>
              <a:solidFill>
                <a:srgbClr val="7AA6DC"/>
              </a:solidFill>
              <a:ln>
                <a:noFill/>
              </a:ln>
              <a:effectLst/>
            </c:spPr>
            <c:extLst>
              <c:ext xmlns:c16="http://schemas.microsoft.com/office/drawing/2014/chart" uri="{C3380CC4-5D6E-409C-BE32-E72D297353CC}">
                <c16:uniqueId val="{00000006-978E-442D-8681-56724D2D87DF}"/>
              </c:ext>
            </c:extLst>
          </c:dPt>
          <c:dPt>
            <c:idx val="5"/>
            <c:invertIfNegative val="0"/>
            <c:bubble3D val="0"/>
            <c:spPr>
              <a:solidFill>
                <a:srgbClr val="98BAE4"/>
              </a:solidFill>
              <a:ln>
                <a:noFill/>
              </a:ln>
              <a:effectLst/>
            </c:spPr>
            <c:extLst>
              <c:ext xmlns:c16="http://schemas.microsoft.com/office/drawing/2014/chart" uri="{C3380CC4-5D6E-409C-BE32-E72D297353CC}">
                <c16:uniqueId val="{00000000-978E-442D-8681-56724D2D87DF}"/>
              </c:ext>
            </c:extLst>
          </c:dPt>
          <c:dPt>
            <c:idx val="6"/>
            <c:invertIfNegative val="0"/>
            <c:bubble3D val="0"/>
            <c:spPr>
              <a:solidFill>
                <a:srgbClr val="C7DAF1"/>
              </a:solidFill>
              <a:ln>
                <a:noFill/>
              </a:ln>
              <a:effectLst/>
            </c:spPr>
            <c:extLst>
              <c:ext xmlns:c16="http://schemas.microsoft.com/office/drawing/2014/chart" uri="{C3380CC4-5D6E-409C-BE32-E72D297353CC}">
                <c16:uniqueId val="{00000003-978E-442D-8681-56724D2D87DF}"/>
              </c:ext>
            </c:extLst>
          </c:dPt>
          <c:cat>
            <c:strRef>
              <c:f>'PIVOT TABLE'!$I$4:$I$11</c:f>
              <c:strCache>
                <c:ptCount val="7"/>
                <c:pt idx="0">
                  <c:v>Chair</c:v>
                </c:pt>
                <c:pt idx="1">
                  <c:v>Printer</c:v>
                </c:pt>
                <c:pt idx="2">
                  <c:v>Laptop</c:v>
                </c:pt>
                <c:pt idx="3">
                  <c:v>Tablet</c:v>
                </c:pt>
                <c:pt idx="4">
                  <c:v>Monitor</c:v>
                </c:pt>
                <c:pt idx="5">
                  <c:v>Desk</c:v>
                </c:pt>
                <c:pt idx="6">
                  <c:v>Phone</c:v>
                </c:pt>
              </c:strCache>
            </c:strRef>
          </c:cat>
          <c:val>
            <c:numRef>
              <c:f>'PIVOT TABLE'!$K$4:$K$11</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6685-4DAA-8115-9D119D6164DC}"/>
            </c:ext>
          </c:extLst>
        </c:ser>
        <c:dLbls>
          <c:showLegendKey val="0"/>
          <c:showVal val="0"/>
          <c:showCatName val="0"/>
          <c:showSerName val="0"/>
          <c:showPercent val="0"/>
          <c:showBubbleSize val="0"/>
        </c:dLbls>
        <c:gapWidth val="219"/>
        <c:axId val="1204207743"/>
        <c:axId val="877399359"/>
      </c:barChart>
      <c:lineChart>
        <c:grouping val="standard"/>
        <c:varyColors val="0"/>
        <c:ser>
          <c:idx val="0"/>
          <c:order val="0"/>
          <c:tx>
            <c:strRef>
              <c:f>'PIVOT TABLE'!$J$3</c:f>
              <c:strCache>
                <c:ptCount val="1"/>
                <c:pt idx="0">
                  <c:v>Sum of Quantity</c:v>
                </c:pt>
              </c:strCache>
            </c:strRef>
          </c:tx>
          <c:spPr>
            <a:ln w="28575" cap="rnd">
              <a:solidFill>
                <a:schemeClr val="accent1"/>
              </a:solidFill>
              <a:round/>
            </a:ln>
            <a:effectLst/>
          </c:spPr>
          <c:marker>
            <c:symbol val="none"/>
          </c:marker>
          <c:cat>
            <c:strRef>
              <c:f>'PIVOT TABLE'!$I$4:$I$11</c:f>
              <c:strCache>
                <c:ptCount val="7"/>
                <c:pt idx="0">
                  <c:v>Chair</c:v>
                </c:pt>
                <c:pt idx="1">
                  <c:v>Printer</c:v>
                </c:pt>
                <c:pt idx="2">
                  <c:v>Laptop</c:v>
                </c:pt>
                <c:pt idx="3">
                  <c:v>Tablet</c:v>
                </c:pt>
                <c:pt idx="4">
                  <c:v>Monitor</c:v>
                </c:pt>
                <c:pt idx="5">
                  <c:v>Desk</c:v>
                </c:pt>
                <c:pt idx="6">
                  <c:v>Phone</c:v>
                </c:pt>
              </c:strCache>
            </c:strRef>
          </c:cat>
          <c:val>
            <c:numRef>
              <c:f>'PIVOT TABLE'!$J$4:$J$11</c:f>
              <c:numCache>
                <c:formatCode>General</c:formatCode>
                <c:ptCount val="7"/>
                <c:pt idx="0">
                  <c:v>562</c:v>
                </c:pt>
                <c:pt idx="1">
                  <c:v>542</c:v>
                </c:pt>
                <c:pt idx="2">
                  <c:v>535</c:v>
                </c:pt>
                <c:pt idx="3">
                  <c:v>497</c:v>
                </c:pt>
                <c:pt idx="4">
                  <c:v>480</c:v>
                </c:pt>
                <c:pt idx="5">
                  <c:v>508</c:v>
                </c:pt>
                <c:pt idx="6">
                  <c:v>411</c:v>
                </c:pt>
              </c:numCache>
            </c:numRef>
          </c:val>
          <c:smooth val="0"/>
          <c:extLst>
            <c:ext xmlns:c16="http://schemas.microsoft.com/office/drawing/2014/chart" uri="{C3380CC4-5D6E-409C-BE32-E72D297353CC}">
              <c16:uniqueId val="{00000001-6685-4DAA-8115-9D119D6164DC}"/>
            </c:ext>
          </c:extLst>
        </c:ser>
        <c:dLbls>
          <c:showLegendKey val="0"/>
          <c:showVal val="0"/>
          <c:showCatName val="0"/>
          <c:showSerName val="0"/>
          <c:showPercent val="0"/>
          <c:showBubbleSize val="0"/>
        </c:dLbls>
        <c:marker val="1"/>
        <c:smooth val="0"/>
        <c:axId val="1204228623"/>
        <c:axId val="1130698239"/>
      </c:lineChart>
      <c:catAx>
        <c:axId val="120420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877399359"/>
        <c:crosses val="autoZero"/>
        <c:auto val="1"/>
        <c:lblAlgn val="ctr"/>
        <c:lblOffset val="100"/>
        <c:noMultiLvlLbl val="0"/>
      </c:catAx>
      <c:valAx>
        <c:axId val="8773993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04207743"/>
        <c:crosses val="autoZero"/>
        <c:crossBetween val="between"/>
      </c:valAx>
      <c:valAx>
        <c:axId val="11306982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04228623"/>
        <c:crosses val="max"/>
        <c:crossBetween val="between"/>
      </c:valAx>
      <c:catAx>
        <c:axId val="1204228623"/>
        <c:scaling>
          <c:orientation val="minMax"/>
        </c:scaling>
        <c:delete val="1"/>
        <c:axPos val="b"/>
        <c:numFmt formatCode="General" sourceLinked="1"/>
        <c:majorTickMark val="out"/>
        <c:minorTickMark val="none"/>
        <c:tickLblPos val="nextTo"/>
        <c:crossAx val="1130698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TABLE!PivotTable12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1.9444444444444497E-2"/>
              <c:y val="-0.125"/>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0555555555555556"/>
              <c:y val="-1.851851851851851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0.108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2.4999999999999897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dLbl>
          <c:idx val="0"/>
          <c:layout>
            <c:manualLayout>
              <c:x val="-0.1305555555555555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0.11666666666666667"/>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0.1611111111111110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dLbl>
          <c:idx val="0"/>
          <c:layout>
            <c:manualLayout>
              <c:x val="-0.1277777777777778"/>
              <c:y val="0.124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rgbClr val="0F233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F2339"/>
          </a:solidFill>
          <a:ln w="19050">
            <a:noFill/>
          </a:ln>
          <a:effectLst/>
        </c:spPr>
        <c:dLbl>
          <c:idx val="0"/>
          <c:layout>
            <c:manualLayout>
              <c:x val="-2.8330686248221024E-2"/>
              <c:y val="5.158195658057158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36965238971162"/>
                  <c:h val="0.19085354147219849"/>
                </c:manualLayout>
              </c15:layout>
            </c:ext>
          </c:extLst>
        </c:dLbl>
      </c:pivotFmt>
      <c:pivotFmt>
        <c:idx val="64"/>
        <c:spPr>
          <a:solidFill>
            <a:srgbClr val="0F2339">
              <a:alpha val="71000"/>
            </a:srgbClr>
          </a:solidFill>
          <a:ln w="19050">
            <a:noFill/>
          </a:ln>
          <a:effectLst/>
        </c:spPr>
        <c:dLbl>
          <c:idx val="0"/>
          <c:layout>
            <c:manualLayout>
              <c:x val="-4.4040903834977198E-2"/>
              <c:y val="-3.352422784156554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76095078365258"/>
                  <c:h val="0.17556691420169798"/>
                </c:manualLayout>
              </c15:layout>
            </c:ext>
          </c:extLst>
        </c:dLbl>
      </c:pivotFmt>
      <c:pivotFmt>
        <c:idx val="65"/>
        <c:spPr>
          <a:solidFill>
            <a:srgbClr val="0F2339">
              <a:alpha val="39000"/>
            </a:srgbClr>
          </a:solidFill>
          <a:ln w="19050">
            <a:noFill/>
          </a:ln>
          <a:effectLst/>
        </c:spPr>
        <c:dLbl>
          <c:idx val="0"/>
          <c:layout>
            <c:manualLayout>
              <c:x val="-4.2208924781933978E-2"/>
              <c:y val="3.353044928126817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71747698819685"/>
                  <c:h val="0.19849685510744874"/>
                </c:manualLayout>
              </c15:layout>
            </c:ext>
          </c:extLst>
        </c:dLbl>
      </c:pivotFmt>
      <c:pivotFmt>
        <c:idx val="66"/>
        <c:spPr>
          <a:solidFill>
            <a:srgbClr val="0F2339"/>
          </a:solidFill>
          <a:ln w="19050">
            <a:noFill/>
          </a:ln>
          <a:effectLst/>
        </c:spPr>
        <c:dLbl>
          <c:idx val="0"/>
          <c:layout>
            <c:manualLayout>
              <c:x val="-2.930802485388454E-3"/>
              <c:y val="-7.90122842326942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TABLE'!$F$22</c:f>
              <c:strCache>
                <c:ptCount val="1"/>
                <c:pt idx="0">
                  <c:v>Total</c:v>
                </c:pt>
              </c:strCache>
            </c:strRef>
          </c:tx>
          <c:spPr>
            <a:solidFill>
              <a:srgbClr val="0F2339"/>
            </a:solidFill>
            <a:ln w="19050">
              <a:noFill/>
            </a:ln>
            <a:effectLst/>
          </c:spPr>
          <c:invertIfNegative val="0"/>
          <c:dPt>
            <c:idx val="0"/>
            <c:invertIfNegative val="0"/>
            <c:bubble3D val="0"/>
            <c:explosion val="2"/>
            <c:spPr>
              <a:solidFill>
                <a:srgbClr val="0F2339">
                  <a:alpha val="39000"/>
                </a:srgbClr>
              </a:solidFill>
              <a:ln w="19050">
                <a:noFill/>
              </a:ln>
              <a:effectLst/>
            </c:spPr>
            <c:extLst>
              <c:ext xmlns:c16="http://schemas.microsoft.com/office/drawing/2014/chart" uri="{C3380CC4-5D6E-409C-BE32-E72D297353CC}">
                <c16:uniqueId val="{00000001-CDE2-4137-AE0C-BD85D64DB946}"/>
              </c:ext>
            </c:extLst>
          </c:dPt>
          <c:dPt>
            <c:idx val="1"/>
            <c:invertIfNegative val="0"/>
            <c:bubble3D val="0"/>
            <c:spPr>
              <a:solidFill>
                <a:srgbClr val="0F2339">
                  <a:alpha val="71000"/>
                </a:srgbClr>
              </a:solidFill>
              <a:ln w="19050">
                <a:noFill/>
              </a:ln>
              <a:effectLst/>
            </c:spPr>
            <c:extLst>
              <c:ext xmlns:c16="http://schemas.microsoft.com/office/drawing/2014/chart" uri="{C3380CC4-5D6E-409C-BE32-E72D297353CC}">
                <c16:uniqueId val="{00000003-CDE2-4137-AE0C-BD85D64DB946}"/>
              </c:ext>
            </c:extLst>
          </c:dPt>
          <c:dPt>
            <c:idx val="2"/>
            <c:invertIfNegative val="0"/>
            <c:bubble3D val="0"/>
            <c:spPr>
              <a:solidFill>
                <a:srgbClr val="0F2339"/>
              </a:solidFill>
              <a:ln w="19050">
                <a:noFill/>
              </a:ln>
              <a:effectLst/>
            </c:spPr>
            <c:extLst>
              <c:ext xmlns:c16="http://schemas.microsoft.com/office/drawing/2014/chart" uri="{C3380CC4-5D6E-409C-BE32-E72D297353CC}">
                <c16:uniqueId val="{00000005-CDE2-4137-AE0C-BD85D64DB946}"/>
              </c:ext>
            </c:extLst>
          </c:dPt>
          <c:dPt>
            <c:idx val="3"/>
            <c:invertIfNegative val="0"/>
            <c:bubble3D val="0"/>
            <c:extLst>
              <c:ext xmlns:c16="http://schemas.microsoft.com/office/drawing/2014/chart" uri="{C3380CC4-5D6E-409C-BE32-E72D297353CC}">
                <c16:uniqueId val="{00000006-9555-40A3-A86E-56F47A7AA5D2}"/>
              </c:ext>
            </c:extLst>
          </c:dPt>
          <c:dLbls>
            <c:dLbl>
              <c:idx val="0"/>
              <c:layout>
                <c:manualLayout>
                  <c:x val="-4.2208924781933978E-2"/>
                  <c:y val="3.353044928126817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71747698819685"/>
                      <c:h val="0.19849685510744874"/>
                    </c:manualLayout>
                  </c15:layout>
                </c:ext>
                <c:ext xmlns:c16="http://schemas.microsoft.com/office/drawing/2014/chart" uri="{C3380CC4-5D6E-409C-BE32-E72D297353CC}">
                  <c16:uniqueId val="{00000001-CDE2-4137-AE0C-BD85D64DB946}"/>
                </c:ext>
              </c:extLst>
            </c:dLbl>
            <c:dLbl>
              <c:idx val="1"/>
              <c:layout>
                <c:manualLayout>
                  <c:x val="-4.4040903834977198E-2"/>
                  <c:y val="-3.352422784156554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76095078365258"/>
                      <c:h val="0.17556691420169798"/>
                    </c:manualLayout>
                  </c15:layout>
                </c:ext>
                <c:ext xmlns:c16="http://schemas.microsoft.com/office/drawing/2014/chart" uri="{C3380CC4-5D6E-409C-BE32-E72D297353CC}">
                  <c16:uniqueId val="{00000003-CDE2-4137-AE0C-BD85D64DB946}"/>
                </c:ext>
              </c:extLst>
            </c:dLbl>
            <c:dLbl>
              <c:idx val="2"/>
              <c:layout>
                <c:manualLayout>
                  <c:x val="-2.8330686248221024E-2"/>
                  <c:y val="5.1581956580571582E-3"/>
                </c:manualLayout>
              </c:layout>
              <c:showLegendKey val="0"/>
              <c:showVal val="1"/>
              <c:showCatName val="0"/>
              <c:showSerName val="0"/>
              <c:showPercent val="0"/>
              <c:showBubbleSize val="0"/>
              <c:extLst>
                <c:ext xmlns:c15="http://schemas.microsoft.com/office/drawing/2012/chart" uri="{CE6537A1-D6FC-4f65-9D91-7224C49458BB}">
                  <c15:layout>
                    <c:manualLayout>
                      <c:w val="0.24536965238971162"/>
                      <c:h val="0.19085354147219849"/>
                    </c:manualLayout>
                  </c15:layout>
                </c:ext>
                <c:ext xmlns:c16="http://schemas.microsoft.com/office/drawing/2014/chart" uri="{C3380CC4-5D6E-409C-BE32-E72D297353CC}">
                  <c16:uniqueId val="{00000005-CDE2-4137-AE0C-BD85D64DB9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TABLE'!$E$23:$E$26</c:f>
              <c:strCache>
                <c:ptCount val="3"/>
                <c:pt idx="0">
                  <c:v>WINTER15</c:v>
                </c:pt>
                <c:pt idx="1">
                  <c:v>SAVE10</c:v>
                </c:pt>
                <c:pt idx="2">
                  <c:v>FREESHIP</c:v>
                </c:pt>
              </c:strCache>
            </c:strRef>
          </c:cat>
          <c:val>
            <c:numRef>
              <c:f>'PIVOT TABLE'!$F$23:$F$26</c:f>
              <c:numCache>
                <c:formatCode>"$"#,##0.00</c:formatCode>
                <c:ptCount val="3"/>
                <c:pt idx="0">
                  <c:v>302483.54000000015</c:v>
                </c:pt>
                <c:pt idx="1">
                  <c:v>304840.02000000008</c:v>
                </c:pt>
                <c:pt idx="2">
                  <c:v>335036.99000000028</c:v>
                </c:pt>
              </c:numCache>
            </c:numRef>
          </c:val>
          <c:extLst>
            <c:ext xmlns:c16="http://schemas.microsoft.com/office/drawing/2014/chart" uri="{C3380CC4-5D6E-409C-BE32-E72D297353CC}">
              <c16:uniqueId val="{00000006-CDE2-4137-AE0C-BD85D64DB946}"/>
            </c:ext>
          </c:extLst>
        </c:ser>
        <c:dLbls>
          <c:showLegendKey val="0"/>
          <c:showVal val="0"/>
          <c:showCatName val="0"/>
          <c:showSerName val="0"/>
          <c:showPercent val="0"/>
          <c:showBubbleSize val="0"/>
        </c:dLbls>
        <c:gapWidth val="100"/>
        <c:axId val="510816128"/>
        <c:axId val="604207360"/>
      </c:barChart>
      <c:valAx>
        <c:axId val="60420736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10816128"/>
        <c:crosses val="autoZero"/>
        <c:crossBetween val="between"/>
      </c:valAx>
      <c:catAx>
        <c:axId val="510816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07360"/>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7596083729587213"/>
          <c:y val="0.4229608453692269"/>
          <c:w val="0.21342533217985943"/>
          <c:h val="0.400002488575881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F23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45794"/>
          </a:solidFill>
          <a:ln>
            <a:noFill/>
          </a:ln>
          <a:effectLst/>
        </c:spPr>
      </c:pivotFmt>
      <c:pivotFmt>
        <c:idx val="15"/>
        <c:spPr>
          <a:solidFill>
            <a:srgbClr val="377BCD"/>
          </a:solidFill>
          <a:ln>
            <a:noFill/>
          </a:ln>
          <a:effectLst/>
        </c:spPr>
      </c:pivotFmt>
      <c:pivotFmt>
        <c:idx val="16"/>
        <c:spPr>
          <a:solidFill>
            <a:srgbClr val="377BCD"/>
          </a:solidFill>
          <a:ln>
            <a:noFill/>
          </a:ln>
          <a:effectLst/>
        </c:spPr>
      </c:pivotFmt>
      <c:pivotFmt>
        <c:idx val="17"/>
        <c:spPr>
          <a:solidFill>
            <a:srgbClr val="98BAE4"/>
          </a:solidFill>
          <a:ln>
            <a:noFill/>
          </a:ln>
          <a:effectLst/>
        </c:spPr>
      </c:pivotFmt>
    </c:pivotFmts>
    <c:plotArea>
      <c:layout>
        <c:manualLayout>
          <c:layoutTarget val="inner"/>
          <c:xMode val="edge"/>
          <c:yMode val="edge"/>
          <c:x val="0.27046628836156517"/>
          <c:y val="3.6616797900262468E-2"/>
          <c:w val="0.71307441340836264"/>
          <c:h val="0.6904110236220472"/>
        </c:manualLayout>
      </c:layout>
      <c:barChart>
        <c:barDir val="col"/>
        <c:grouping val="clustered"/>
        <c:varyColors val="0"/>
        <c:ser>
          <c:idx val="0"/>
          <c:order val="0"/>
          <c:tx>
            <c:strRef>
              <c:f>'PIVOT TABLE'!$B$22</c:f>
              <c:strCache>
                <c:ptCount val="1"/>
                <c:pt idx="0">
                  <c:v>Total</c:v>
                </c:pt>
              </c:strCache>
            </c:strRef>
          </c:tx>
          <c:spPr>
            <a:solidFill>
              <a:srgbClr val="0F2339"/>
            </a:solidFill>
            <a:ln>
              <a:noFill/>
            </a:ln>
            <a:effectLst/>
          </c:spPr>
          <c:invertIfNegative val="0"/>
          <c:dPt>
            <c:idx val="1"/>
            <c:invertIfNegative val="0"/>
            <c:bubble3D val="0"/>
            <c:spPr>
              <a:solidFill>
                <a:srgbClr val="245794"/>
              </a:solidFill>
              <a:ln>
                <a:noFill/>
              </a:ln>
              <a:effectLst/>
            </c:spPr>
            <c:extLst>
              <c:ext xmlns:c16="http://schemas.microsoft.com/office/drawing/2014/chart" uri="{C3380CC4-5D6E-409C-BE32-E72D297353CC}">
                <c16:uniqueId val="{00000000-AB16-4D43-B98C-D872C36BF842}"/>
              </c:ext>
            </c:extLst>
          </c:dPt>
          <c:dPt>
            <c:idx val="2"/>
            <c:invertIfNegative val="0"/>
            <c:bubble3D val="0"/>
            <c:spPr>
              <a:solidFill>
                <a:srgbClr val="377BCD"/>
              </a:solidFill>
              <a:ln>
                <a:noFill/>
              </a:ln>
              <a:effectLst/>
            </c:spPr>
            <c:extLst>
              <c:ext xmlns:c16="http://schemas.microsoft.com/office/drawing/2014/chart" uri="{C3380CC4-5D6E-409C-BE32-E72D297353CC}">
                <c16:uniqueId val="{00000001-AB16-4D43-B98C-D872C36BF842}"/>
              </c:ext>
            </c:extLst>
          </c:dPt>
          <c:dPt>
            <c:idx val="3"/>
            <c:invertIfNegative val="0"/>
            <c:bubble3D val="0"/>
            <c:spPr>
              <a:solidFill>
                <a:srgbClr val="377BCD"/>
              </a:solidFill>
              <a:ln>
                <a:noFill/>
              </a:ln>
              <a:effectLst/>
            </c:spPr>
            <c:extLst>
              <c:ext xmlns:c16="http://schemas.microsoft.com/office/drawing/2014/chart" uri="{C3380CC4-5D6E-409C-BE32-E72D297353CC}">
                <c16:uniqueId val="{00000002-AB16-4D43-B98C-D872C36BF842}"/>
              </c:ext>
            </c:extLst>
          </c:dPt>
          <c:dPt>
            <c:idx val="4"/>
            <c:invertIfNegative val="0"/>
            <c:bubble3D val="0"/>
            <c:spPr>
              <a:solidFill>
                <a:srgbClr val="98BAE4"/>
              </a:solidFill>
              <a:ln>
                <a:noFill/>
              </a:ln>
              <a:effectLst/>
            </c:spPr>
            <c:extLst>
              <c:ext xmlns:c16="http://schemas.microsoft.com/office/drawing/2014/chart" uri="{C3380CC4-5D6E-409C-BE32-E72D297353CC}">
                <c16:uniqueId val="{00000003-AB16-4D43-B98C-D872C36BF8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TABLE'!$A$23:$A$28</c:f>
              <c:strCache>
                <c:ptCount val="5"/>
                <c:pt idx="0">
                  <c:v>Instagram</c:v>
                </c:pt>
                <c:pt idx="1">
                  <c:v>Email</c:v>
                </c:pt>
                <c:pt idx="2">
                  <c:v>Google</c:v>
                </c:pt>
                <c:pt idx="3">
                  <c:v>Facebook</c:v>
                </c:pt>
                <c:pt idx="4">
                  <c:v>Referral</c:v>
                </c:pt>
              </c:strCache>
            </c:strRef>
          </c:cat>
          <c:val>
            <c:numRef>
              <c:f>'PIVOT TABLE'!$B$23:$B$28</c:f>
              <c:numCache>
                <c:formatCode>"$"#,##0.00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9152-40B6-80E6-2CDA60758C6E}"/>
            </c:ext>
          </c:extLst>
        </c:ser>
        <c:dLbls>
          <c:dLblPos val="outEnd"/>
          <c:showLegendKey val="0"/>
          <c:showVal val="1"/>
          <c:showCatName val="0"/>
          <c:showSerName val="0"/>
          <c:showPercent val="0"/>
          <c:showBubbleSize val="0"/>
        </c:dLbls>
        <c:gapWidth val="219"/>
        <c:overlap val="-27"/>
        <c:axId val="1204245791"/>
        <c:axId val="1122014959"/>
      </c:barChart>
      <c:catAx>
        <c:axId val="1204245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22014959"/>
        <c:crosses val="autoZero"/>
        <c:auto val="1"/>
        <c:lblAlgn val="ctr"/>
        <c:lblOffset val="100"/>
        <c:noMultiLvlLbl val="0"/>
      </c:catAx>
      <c:valAx>
        <c:axId val="11220149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0424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23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B65AB"/>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1312904488594"/>
                  <c:h val="0.10716231281830389"/>
                </c:manualLayout>
              </c15:layout>
            </c:ext>
          </c:extLst>
        </c:dLbl>
      </c:pivotFmt>
      <c:pivotFmt>
        <c:idx val="8"/>
        <c:spPr>
          <a:solidFill>
            <a:srgbClr val="0F233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268201621557402"/>
                  <c:h val="0.11386622579201187"/>
                </c:manualLayout>
              </c15:layout>
            </c:ext>
          </c:extLst>
        </c:dLbl>
      </c:pivotFmt>
      <c:pivotFmt>
        <c:idx val="9"/>
        <c:spPr>
          <a:solidFill>
            <a:srgbClr val="1C416E"/>
          </a:solidFill>
          <a:ln>
            <a:noFill/>
          </a:ln>
          <a:effectLst/>
        </c:spPr>
      </c:pivotFmt>
      <c:pivotFmt>
        <c:idx val="10"/>
        <c:spPr>
          <a:solidFill>
            <a:srgbClr val="7AA6DC"/>
          </a:solidFill>
          <a:ln>
            <a:noFill/>
          </a:ln>
          <a:effectLst/>
        </c:spPr>
      </c:pivotFmt>
      <c:pivotFmt>
        <c:idx val="11"/>
        <c:spPr>
          <a:solidFill>
            <a:srgbClr val="9EBFE6"/>
          </a:solidFill>
          <a:ln>
            <a:noFill/>
          </a:ln>
          <a:effectLst/>
        </c:spPr>
      </c:pivotFmt>
    </c:pivotFmts>
    <c:plotArea>
      <c:layout>
        <c:manualLayout>
          <c:layoutTarget val="inner"/>
          <c:xMode val="edge"/>
          <c:yMode val="edge"/>
          <c:x val="0.29465439037665053"/>
          <c:y val="7.3743042710787909E-2"/>
          <c:w val="0.63526156602378425"/>
          <c:h val="0.5967897230597714"/>
        </c:manualLayout>
      </c:layout>
      <c:barChart>
        <c:barDir val="col"/>
        <c:grouping val="clustered"/>
        <c:varyColors val="0"/>
        <c:ser>
          <c:idx val="0"/>
          <c:order val="0"/>
          <c:tx>
            <c:strRef>
              <c:f>'PIVOT TABLE'!$J$13</c:f>
              <c:strCache>
                <c:ptCount val="1"/>
                <c:pt idx="0">
                  <c:v>Total</c:v>
                </c:pt>
              </c:strCache>
            </c:strRef>
          </c:tx>
          <c:spPr>
            <a:solidFill>
              <a:srgbClr val="0F2339"/>
            </a:solidFill>
            <a:ln>
              <a:noFill/>
            </a:ln>
            <a:effectLst/>
          </c:spPr>
          <c:invertIfNegative val="0"/>
          <c:dPt>
            <c:idx val="0"/>
            <c:invertIfNegative val="0"/>
            <c:bubble3D val="0"/>
            <c:spPr>
              <a:solidFill>
                <a:srgbClr val="0F2339"/>
              </a:solidFill>
              <a:ln>
                <a:noFill/>
              </a:ln>
              <a:effectLst/>
            </c:spPr>
            <c:extLst>
              <c:ext xmlns:c16="http://schemas.microsoft.com/office/drawing/2014/chart" uri="{C3380CC4-5D6E-409C-BE32-E72D297353CC}">
                <c16:uniqueId val="{00000000-F01C-4331-ABC4-CF48CB476876}"/>
              </c:ext>
            </c:extLst>
          </c:dPt>
          <c:dPt>
            <c:idx val="1"/>
            <c:invertIfNegative val="0"/>
            <c:bubble3D val="0"/>
            <c:spPr>
              <a:solidFill>
                <a:srgbClr val="1C416E"/>
              </a:solidFill>
              <a:ln>
                <a:noFill/>
              </a:ln>
              <a:effectLst/>
            </c:spPr>
            <c:extLst>
              <c:ext xmlns:c16="http://schemas.microsoft.com/office/drawing/2014/chart" uri="{C3380CC4-5D6E-409C-BE32-E72D297353CC}">
                <c16:uniqueId val="{00000001-F01C-4331-ABC4-CF48CB476876}"/>
              </c:ext>
            </c:extLst>
          </c:dPt>
          <c:dPt>
            <c:idx val="2"/>
            <c:invertIfNegative val="0"/>
            <c:bubble3D val="0"/>
            <c:spPr>
              <a:solidFill>
                <a:srgbClr val="2B65AB"/>
              </a:solidFill>
              <a:ln>
                <a:noFill/>
              </a:ln>
              <a:effectLst/>
            </c:spPr>
            <c:extLst>
              <c:ext xmlns:c16="http://schemas.microsoft.com/office/drawing/2014/chart" uri="{C3380CC4-5D6E-409C-BE32-E72D297353CC}">
                <c16:uniqueId val="{00000005-5707-41EA-BB00-A687049E42A7}"/>
              </c:ext>
            </c:extLst>
          </c:dPt>
          <c:dPt>
            <c:idx val="3"/>
            <c:invertIfNegative val="0"/>
            <c:bubble3D val="0"/>
            <c:spPr>
              <a:solidFill>
                <a:srgbClr val="7AA6DC"/>
              </a:solidFill>
              <a:ln>
                <a:noFill/>
              </a:ln>
              <a:effectLst/>
            </c:spPr>
            <c:extLst>
              <c:ext xmlns:c16="http://schemas.microsoft.com/office/drawing/2014/chart" uri="{C3380CC4-5D6E-409C-BE32-E72D297353CC}">
                <c16:uniqueId val="{00000004-BE61-49DD-A67F-95C8E57F5C47}"/>
              </c:ext>
            </c:extLst>
          </c:dPt>
          <c:dPt>
            <c:idx val="4"/>
            <c:invertIfNegative val="0"/>
            <c:bubble3D val="0"/>
            <c:spPr>
              <a:solidFill>
                <a:srgbClr val="9EBFE6"/>
              </a:solidFill>
              <a:ln>
                <a:noFill/>
              </a:ln>
              <a:effectLst/>
            </c:spPr>
            <c:extLst>
              <c:ext xmlns:c16="http://schemas.microsoft.com/office/drawing/2014/chart" uri="{C3380CC4-5D6E-409C-BE32-E72D297353CC}">
                <c16:uniqueId val="{00000005-BE61-49DD-A67F-95C8E57F5C47}"/>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268201621557402"/>
                      <c:h val="0.11386622579201187"/>
                    </c:manualLayout>
                  </c15:layout>
                </c:ext>
                <c:ext xmlns:c16="http://schemas.microsoft.com/office/drawing/2014/chart" uri="{C3380CC4-5D6E-409C-BE32-E72D297353CC}">
                  <c16:uniqueId val="{00000000-F01C-4331-ABC4-CF48CB476876}"/>
                </c:ext>
              </c:extLst>
            </c:dLbl>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1312904488594"/>
                      <c:h val="0.10716231281830389"/>
                    </c:manualLayout>
                  </c15:layout>
                </c:ext>
                <c:ext xmlns:c16="http://schemas.microsoft.com/office/drawing/2014/chart" uri="{C3380CC4-5D6E-409C-BE32-E72D297353CC}">
                  <c16:uniqueId val="{00000005-5707-41EA-BB00-A687049E42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TABLE'!$I$14:$I$19</c:f>
              <c:strCache>
                <c:ptCount val="5"/>
                <c:pt idx="0">
                  <c:v>Credit Card</c:v>
                </c:pt>
                <c:pt idx="1">
                  <c:v>Online</c:v>
                </c:pt>
                <c:pt idx="2">
                  <c:v>Cash</c:v>
                </c:pt>
                <c:pt idx="3">
                  <c:v>Gift Card</c:v>
                </c:pt>
                <c:pt idx="4">
                  <c:v>Debit Card</c:v>
                </c:pt>
              </c:strCache>
            </c:strRef>
          </c:cat>
          <c:val>
            <c:numRef>
              <c:f>'PIVOT TABLE'!$J$14:$J$19</c:f>
              <c:numCache>
                <c:formatCode>"$"#,##0.00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9F4D-4CA3-8250-58D4BCC76519}"/>
            </c:ext>
          </c:extLst>
        </c:ser>
        <c:dLbls>
          <c:dLblPos val="outEnd"/>
          <c:showLegendKey val="0"/>
          <c:showVal val="1"/>
          <c:showCatName val="0"/>
          <c:showSerName val="0"/>
          <c:showPercent val="0"/>
          <c:showBubbleSize val="0"/>
        </c:dLbls>
        <c:gapWidth val="219"/>
        <c:overlap val="-27"/>
        <c:axId val="1278225311"/>
        <c:axId val="1130719839"/>
      </c:barChart>
      <c:catAx>
        <c:axId val="12782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30719839"/>
        <c:crosses val="autoZero"/>
        <c:auto val="1"/>
        <c:lblAlgn val="ctr"/>
        <c:lblOffset val="100"/>
        <c:noMultiLvlLbl val="0"/>
      </c:catAx>
      <c:valAx>
        <c:axId val="1130719839"/>
        <c:scaling>
          <c:orientation val="minMax"/>
          <c:max val="300000"/>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822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15</xdr:col>
      <xdr:colOff>269083</xdr:colOff>
      <xdr:row>0</xdr:row>
      <xdr:rowOff>0</xdr:rowOff>
    </xdr:from>
    <xdr:to>
      <xdr:col>18</xdr:col>
      <xdr:colOff>276226</xdr:colOff>
      <xdr:row>13</xdr:row>
      <xdr:rowOff>47625</xdr:rowOff>
    </xdr:to>
    <mc:AlternateContent xmlns:mc="http://schemas.openxmlformats.org/markup-compatibility/2006" xmlns:a14="http://schemas.microsoft.com/office/drawing/2010/main">
      <mc:Choice Requires="a14">
        <xdr:graphicFrame macro="">
          <xdr:nvGraphicFramePr>
            <xdr:cNvPr id="5" name="CouponCode">
              <a:extLst>
                <a:ext uri="{FF2B5EF4-FFF2-40B4-BE49-F238E27FC236}">
                  <a16:creationId xmlns:a16="http://schemas.microsoft.com/office/drawing/2014/main" id="{182590FB-62C3-B489-6AEA-9AD33AD631D0}"/>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mlns="">
        <xdr:sp macro="" textlink="">
          <xdr:nvSpPr>
            <xdr:cNvPr id="0" name=""/>
            <xdr:cNvSpPr>
              <a:spLocks noTextEdit="1"/>
            </xdr:cNvSpPr>
          </xdr:nvSpPr>
          <xdr:spPr>
            <a:xfrm>
              <a:off x="15187614"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483393</xdr:colOff>
      <xdr:row>0</xdr:row>
      <xdr:rowOff>114300</xdr:rowOff>
    </xdr:from>
    <xdr:to>
      <xdr:col>13</xdr:col>
      <xdr:colOff>216693</xdr:colOff>
      <xdr:row>13</xdr:row>
      <xdr:rowOff>161925</xdr:rowOff>
    </xdr:to>
    <mc:AlternateContent xmlns:mc="http://schemas.openxmlformats.org/markup-compatibility/2006" xmlns:a14="http://schemas.microsoft.com/office/drawing/2010/main">
      <mc:Choice Requires="a14">
        <xdr:graphicFrame macro="">
          <xdr:nvGraphicFramePr>
            <xdr:cNvPr id="6" name="ReferralSource">
              <a:extLst>
                <a:ext uri="{FF2B5EF4-FFF2-40B4-BE49-F238E27FC236}">
                  <a16:creationId xmlns:a16="http://schemas.microsoft.com/office/drawing/2014/main" id="{3A160B92-1D60-FB52-05B9-96B6000887DB}"/>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2996862"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947737</xdr:colOff>
      <xdr:row>16</xdr:row>
      <xdr:rowOff>90488</xdr:rowOff>
    </xdr:from>
    <xdr:to>
      <xdr:col>14</xdr:col>
      <xdr:colOff>73818</xdr:colOff>
      <xdr:row>23</xdr:row>
      <xdr:rowOff>154781</xdr:rowOff>
    </xdr:to>
    <mc:AlternateContent xmlns:mc="http://schemas.openxmlformats.org/markup-compatibility/2006" xmlns:a14="http://schemas.microsoft.com/office/drawing/2010/main">
      <mc:Choice Requires="a14">
        <xdr:graphicFrame macro="">
          <xdr:nvGraphicFramePr>
            <xdr:cNvPr id="7" name="Years (Date)">
              <a:extLst>
                <a:ext uri="{FF2B5EF4-FFF2-40B4-BE49-F238E27FC236}">
                  <a16:creationId xmlns:a16="http://schemas.microsoft.com/office/drawing/2014/main" id="{7A47C7AB-905F-1C51-70B1-D185DF1F1C5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3461206" y="3138488"/>
              <a:ext cx="1828800" cy="1397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890587</xdr:colOff>
      <xdr:row>27</xdr:row>
      <xdr:rowOff>7143</xdr:rowOff>
    </xdr:from>
    <xdr:to>
      <xdr:col>14</xdr:col>
      <xdr:colOff>16668</xdr:colOff>
      <xdr:row>35</xdr:row>
      <xdr:rowOff>47624</xdr:rowOff>
    </xdr:to>
    <mc:AlternateContent xmlns:mc="http://schemas.openxmlformats.org/markup-compatibility/2006" xmlns:a14="http://schemas.microsoft.com/office/drawing/2010/main">
      <mc:Choice Requires="a14">
        <xdr:graphicFrame macro="">
          <xdr:nvGraphicFramePr>
            <xdr:cNvPr id="2" name="CouponCode 1">
              <a:extLst>
                <a:ext uri="{FF2B5EF4-FFF2-40B4-BE49-F238E27FC236}">
                  <a16:creationId xmlns:a16="http://schemas.microsoft.com/office/drawing/2014/main" id="{36E5718A-0E11-7938-06D7-665C152A3A2C}"/>
                </a:ext>
              </a:extLst>
            </xdr:cNvPr>
            <xdr:cNvGraphicFramePr/>
          </xdr:nvGraphicFramePr>
          <xdr:xfrm>
            <a:off x="0" y="0"/>
            <a:ext cx="0" cy="0"/>
          </xdr:xfrm>
          <a:graphic>
            <a:graphicData uri="http://schemas.microsoft.com/office/drawing/2010/slicer">
              <sle:slicer xmlns:sle="http://schemas.microsoft.com/office/drawing/2010/slicer" name="CouponCode 1"/>
            </a:graphicData>
          </a:graphic>
        </xdr:graphicFrame>
      </mc:Choice>
      <mc:Fallback xmlns="">
        <xdr:sp macro="" textlink="">
          <xdr:nvSpPr>
            <xdr:cNvPr id="0" name=""/>
            <xdr:cNvSpPr>
              <a:spLocks noTextEdit="1"/>
            </xdr:cNvSpPr>
          </xdr:nvSpPr>
          <xdr:spPr>
            <a:xfrm>
              <a:off x="12499181" y="5150643"/>
              <a:ext cx="1828800" cy="1564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0</xdr:rowOff>
    </xdr:from>
    <xdr:to>
      <xdr:col>7</xdr:col>
      <xdr:colOff>161925</xdr:colOff>
      <xdr:row>12</xdr:row>
      <xdr:rowOff>123825</xdr:rowOff>
    </xdr:to>
    <xdr:graphicFrame macro="">
      <xdr:nvGraphicFramePr>
        <xdr:cNvPr id="2" name="Chart 1">
          <a:extLst>
            <a:ext uri="{FF2B5EF4-FFF2-40B4-BE49-F238E27FC236}">
              <a16:creationId xmlns:a16="http://schemas.microsoft.com/office/drawing/2014/main" id="{E0530B75-C244-4893-95E9-B9B8A7D5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13</xdr:col>
      <xdr:colOff>9525</xdr:colOff>
      <xdr:row>12</xdr:row>
      <xdr:rowOff>104775</xdr:rowOff>
    </xdr:to>
    <xdr:graphicFrame macro="">
      <xdr:nvGraphicFramePr>
        <xdr:cNvPr id="3" name="Chart 2">
          <a:extLst>
            <a:ext uri="{FF2B5EF4-FFF2-40B4-BE49-F238E27FC236}">
              <a16:creationId xmlns:a16="http://schemas.microsoft.com/office/drawing/2014/main" id="{CD75AE66-1A97-4B29-87FC-9609BB9C3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14</xdr:row>
      <xdr:rowOff>0</xdr:rowOff>
    </xdr:from>
    <xdr:to>
      <xdr:col>7</xdr:col>
      <xdr:colOff>171451</xdr:colOff>
      <xdr:row>26</xdr:row>
      <xdr:rowOff>133350</xdr:rowOff>
    </xdr:to>
    <xdr:graphicFrame macro="">
      <xdr:nvGraphicFramePr>
        <xdr:cNvPr id="4" name="Chart 3">
          <a:extLst>
            <a:ext uri="{FF2B5EF4-FFF2-40B4-BE49-F238E27FC236}">
              <a16:creationId xmlns:a16="http://schemas.microsoft.com/office/drawing/2014/main" id="{46508888-2594-4836-B69C-90A3EE33C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14</xdr:row>
      <xdr:rowOff>0</xdr:rowOff>
    </xdr:from>
    <xdr:to>
      <xdr:col>13</xdr:col>
      <xdr:colOff>133350</xdr:colOff>
      <xdr:row>26</xdr:row>
      <xdr:rowOff>114300</xdr:rowOff>
    </xdr:to>
    <xdr:graphicFrame macro="">
      <xdr:nvGraphicFramePr>
        <xdr:cNvPr id="5" name="Chart 4">
          <a:extLst>
            <a:ext uri="{FF2B5EF4-FFF2-40B4-BE49-F238E27FC236}">
              <a16:creationId xmlns:a16="http://schemas.microsoft.com/office/drawing/2014/main" id="{EA04863A-3F38-420A-AD6C-FCBDAC27D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28</xdr:row>
      <xdr:rowOff>0</xdr:rowOff>
    </xdr:from>
    <xdr:to>
      <xdr:col>7</xdr:col>
      <xdr:colOff>200025</xdr:colOff>
      <xdr:row>42</xdr:row>
      <xdr:rowOff>76200</xdr:rowOff>
    </xdr:to>
    <xdr:graphicFrame macro="">
      <xdr:nvGraphicFramePr>
        <xdr:cNvPr id="6" name="Chart 5">
          <a:extLst>
            <a:ext uri="{FF2B5EF4-FFF2-40B4-BE49-F238E27FC236}">
              <a16:creationId xmlns:a16="http://schemas.microsoft.com/office/drawing/2014/main" id="{0E6D22C6-128B-4E94-BEE0-1F5DB61BF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xdr:colOff>
      <xdr:row>28</xdr:row>
      <xdr:rowOff>0</xdr:rowOff>
    </xdr:from>
    <xdr:to>
      <xdr:col>13</xdr:col>
      <xdr:colOff>390525</xdr:colOff>
      <xdr:row>39</xdr:row>
      <xdr:rowOff>133350</xdr:rowOff>
    </xdr:to>
    <xdr:graphicFrame macro="">
      <xdr:nvGraphicFramePr>
        <xdr:cNvPr id="7" name="Chart 6">
          <a:extLst>
            <a:ext uri="{FF2B5EF4-FFF2-40B4-BE49-F238E27FC236}">
              <a16:creationId xmlns:a16="http://schemas.microsoft.com/office/drawing/2014/main" id="{F5EC4098-DF9A-4F49-BCB8-E0E020FDD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321468</xdr:colOff>
      <xdr:row>0</xdr:row>
      <xdr:rowOff>166686</xdr:rowOff>
    </xdr:from>
    <xdr:to>
      <xdr:col>23</xdr:col>
      <xdr:colOff>523876</xdr:colOff>
      <xdr:row>27</xdr:row>
      <xdr:rowOff>35717</xdr:rowOff>
    </xdr:to>
    <xdr:sp macro="" textlink="">
      <xdr:nvSpPr>
        <xdr:cNvPr id="3" name="Rectangle: Rounded Corners 2">
          <a:extLst>
            <a:ext uri="{FF2B5EF4-FFF2-40B4-BE49-F238E27FC236}">
              <a16:creationId xmlns:a16="http://schemas.microsoft.com/office/drawing/2014/main" id="{7E3C613F-1767-C95F-9995-9D49B95BA1EC}"/>
            </a:ext>
          </a:extLst>
        </xdr:cNvPr>
        <xdr:cNvSpPr/>
      </xdr:nvSpPr>
      <xdr:spPr>
        <a:xfrm>
          <a:off x="1535906" y="166686"/>
          <a:ext cx="13013533" cy="5012531"/>
        </a:xfrm>
        <a:prstGeom prst="roundRect">
          <a:avLst>
            <a:gd name="adj" fmla="val 7682"/>
          </a:avLst>
        </a:prstGeom>
        <a:solidFill>
          <a:srgbClr val="0F2339">
            <a:alpha val="7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357716</xdr:colOff>
      <xdr:row>1</xdr:row>
      <xdr:rowOff>87312</xdr:rowOff>
    </xdr:from>
    <xdr:to>
      <xdr:col>9</xdr:col>
      <xdr:colOff>211666</xdr:colOff>
      <xdr:row>5</xdr:row>
      <xdr:rowOff>150813</xdr:rowOff>
    </xdr:to>
    <xdr:sp macro="" textlink="">
      <xdr:nvSpPr>
        <xdr:cNvPr id="6" name="Rectangle: Rounded Corners 5">
          <a:extLst>
            <a:ext uri="{FF2B5EF4-FFF2-40B4-BE49-F238E27FC236}">
              <a16:creationId xmlns:a16="http://schemas.microsoft.com/office/drawing/2014/main" id="{CBC18DB9-73DB-4889-8260-3AD46A314762}"/>
            </a:ext>
          </a:extLst>
        </xdr:cNvPr>
        <xdr:cNvSpPr/>
      </xdr:nvSpPr>
      <xdr:spPr>
        <a:xfrm>
          <a:off x="3453341" y="277812"/>
          <a:ext cx="2282825" cy="825501"/>
        </a:xfrm>
        <a:prstGeom prst="roundRect">
          <a:avLst>
            <a:gd name="adj" fmla="val 22141"/>
          </a:avLst>
        </a:prstGeom>
        <a:solidFill>
          <a:schemeClr val="bg1">
            <a:alpha val="8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8731</xdr:colOff>
      <xdr:row>6</xdr:row>
      <xdr:rowOff>107156</xdr:rowOff>
    </xdr:from>
    <xdr:to>
      <xdr:col>16</xdr:col>
      <xdr:colOff>260615</xdr:colOff>
      <xdr:row>15</xdr:row>
      <xdr:rowOff>166687</xdr:rowOff>
    </xdr:to>
    <xdr:sp macro="" textlink="">
      <xdr:nvSpPr>
        <xdr:cNvPr id="9" name="Rectangle: Rounded Corners 8">
          <a:extLst>
            <a:ext uri="{FF2B5EF4-FFF2-40B4-BE49-F238E27FC236}">
              <a16:creationId xmlns:a16="http://schemas.microsoft.com/office/drawing/2014/main" id="{234ABB3B-8363-47E7-B60F-99F51A60969D}"/>
            </a:ext>
          </a:extLst>
        </xdr:cNvPr>
        <xdr:cNvSpPr/>
      </xdr:nvSpPr>
      <xdr:spPr>
        <a:xfrm>
          <a:off x="6747669" y="1250156"/>
          <a:ext cx="3287977" cy="1774031"/>
        </a:xfrm>
        <a:prstGeom prst="roundRect">
          <a:avLst>
            <a:gd name="adj" fmla="val 14458"/>
          </a:avLst>
        </a:prstGeom>
        <a:solidFill>
          <a:schemeClr val="bg1">
            <a:alpha val="82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19049</xdr:colOff>
      <xdr:row>17</xdr:row>
      <xdr:rowOff>0</xdr:rowOff>
    </xdr:from>
    <xdr:to>
      <xdr:col>16</xdr:col>
      <xdr:colOff>306916</xdr:colOff>
      <xdr:row>26</xdr:row>
      <xdr:rowOff>150021</xdr:rowOff>
    </xdr:to>
    <xdr:sp macro="" textlink="">
      <xdr:nvSpPr>
        <xdr:cNvPr id="14" name="Rectangle: Rounded Corners 13">
          <a:extLst>
            <a:ext uri="{FF2B5EF4-FFF2-40B4-BE49-F238E27FC236}">
              <a16:creationId xmlns:a16="http://schemas.microsoft.com/office/drawing/2014/main" id="{2CE45870-88EF-4FC9-BA54-BBDFBAF83D77}"/>
            </a:ext>
          </a:extLst>
        </xdr:cNvPr>
        <xdr:cNvSpPr/>
      </xdr:nvSpPr>
      <xdr:spPr>
        <a:xfrm>
          <a:off x="4876799" y="3238500"/>
          <a:ext cx="3323961" cy="1864521"/>
        </a:xfrm>
        <a:prstGeom prst="roundRect">
          <a:avLst>
            <a:gd name="adj" fmla="val 14458"/>
          </a:avLst>
        </a:prstGeom>
        <a:solidFill>
          <a:schemeClr val="bg1">
            <a:alpha val="82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375179</xdr:colOff>
      <xdr:row>16</xdr:row>
      <xdr:rowOff>178594</xdr:rowOff>
    </xdr:from>
    <xdr:to>
      <xdr:col>10</xdr:col>
      <xdr:colOff>537104</xdr:colOff>
      <xdr:row>26</xdr:row>
      <xdr:rowOff>139437</xdr:rowOff>
    </xdr:to>
    <xdr:sp macro="" textlink="">
      <xdr:nvSpPr>
        <xdr:cNvPr id="15" name="Rectangle: Rounded Corners 14">
          <a:extLst>
            <a:ext uri="{FF2B5EF4-FFF2-40B4-BE49-F238E27FC236}">
              <a16:creationId xmlns:a16="http://schemas.microsoft.com/office/drawing/2014/main" id="{396C8DCC-D6B8-430D-BFAD-BDE9F9353FAA}"/>
            </a:ext>
          </a:extLst>
        </xdr:cNvPr>
        <xdr:cNvSpPr/>
      </xdr:nvSpPr>
      <xdr:spPr>
        <a:xfrm>
          <a:off x="1589617" y="3226594"/>
          <a:ext cx="3198018" cy="1865843"/>
        </a:xfrm>
        <a:prstGeom prst="roundRect">
          <a:avLst>
            <a:gd name="adj" fmla="val 14458"/>
          </a:avLst>
        </a:prstGeom>
        <a:solidFill>
          <a:schemeClr val="bg1">
            <a:alpha val="8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464344</xdr:colOff>
      <xdr:row>17</xdr:row>
      <xdr:rowOff>95248</xdr:rowOff>
    </xdr:from>
    <xdr:to>
      <xdr:col>11</xdr:col>
      <xdr:colOff>-1</xdr:colOff>
      <xdr:row>26</xdr:row>
      <xdr:rowOff>124353</xdr:rowOff>
    </xdr:to>
    <xdr:graphicFrame macro="">
      <xdr:nvGraphicFramePr>
        <xdr:cNvPr id="16" name="Chart 15">
          <a:extLst>
            <a:ext uri="{FF2B5EF4-FFF2-40B4-BE49-F238E27FC236}">
              <a16:creationId xmlns:a16="http://schemas.microsoft.com/office/drawing/2014/main" id="{E37DAF95-2104-42CB-B64E-CDC508133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500063</xdr:colOff>
      <xdr:row>17</xdr:row>
      <xdr:rowOff>59531</xdr:rowOff>
    </xdr:from>
    <xdr:to>
      <xdr:col>16</xdr:col>
      <xdr:colOff>321468</xdr:colOff>
      <xdr:row>26</xdr:row>
      <xdr:rowOff>180976</xdr:rowOff>
    </xdr:to>
    <xdr:graphicFrame macro="">
      <xdr:nvGraphicFramePr>
        <xdr:cNvPr id="17" name="Chart 16">
          <a:extLst>
            <a:ext uri="{FF2B5EF4-FFF2-40B4-BE49-F238E27FC236}">
              <a16:creationId xmlns:a16="http://schemas.microsoft.com/office/drawing/2014/main" id="{7D43D689-F14D-4556-8849-63A0BA3F0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384441</xdr:colOff>
      <xdr:row>6</xdr:row>
      <xdr:rowOff>149489</xdr:rowOff>
    </xdr:from>
    <xdr:to>
      <xdr:col>10</xdr:col>
      <xdr:colOff>498740</xdr:colOff>
      <xdr:row>16</xdr:row>
      <xdr:rowOff>11905</xdr:rowOff>
    </xdr:to>
    <xdr:sp macro="" textlink="">
      <xdr:nvSpPr>
        <xdr:cNvPr id="18" name="Rectangle: Rounded Corners 17">
          <a:extLst>
            <a:ext uri="{FF2B5EF4-FFF2-40B4-BE49-F238E27FC236}">
              <a16:creationId xmlns:a16="http://schemas.microsoft.com/office/drawing/2014/main" id="{7E895683-CF2B-4C3D-B17C-22868AC60FAC}"/>
            </a:ext>
          </a:extLst>
        </xdr:cNvPr>
        <xdr:cNvSpPr/>
      </xdr:nvSpPr>
      <xdr:spPr>
        <a:xfrm>
          <a:off x="1598879" y="1292489"/>
          <a:ext cx="3150392" cy="1767416"/>
        </a:xfrm>
        <a:prstGeom prst="roundRect">
          <a:avLst>
            <a:gd name="adj" fmla="val 14458"/>
          </a:avLst>
        </a:prstGeom>
        <a:solidFill>
          <a:schemeClr val="bg1">
            <a:alpha val="82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435237</xdr:colOff>
      <xdr:row>15</xdr:row>
      <xdr:rowOff>11906</xdr:rowOff>
    </xdr:from>
    <xdr:to>
      <xdr:col>23</xdr:col>
      <xdr:colOff>416718</xdr:colOff>
      <xdr:row>26</xdr:row>
      <xdr:rowOff>154781</xdr:rowOff>
    </xdr:to>
    <xdr:sp macro="" textlink="">
      <xdr:nvSpPr>
        <xdr:cNvPr id="19" name="Rectangle: Rounded Corners 18">
          <a:extLst>
            <a:ext uri="{FF2B5EF4-FFF2-40B4-BE49-F238E27FC236}">
              <a16:creationId xmlns:a16="http://schemas.microsoft.com/office/drawing/2014/main" id="{9C678A4C-6957-4EFB-AD35-6C5912D9A8B7}"/>
            </a:ext>
          </a:extLst>
        </xdr:cNvPr>
        <xdr:cNvSpPr/>
      </xdr:nvSpPr>
      <xdr:spPr>
        <a:xfrm>
          <a:off x="8329081" y="2869406"/>
          <a:ext cx="4232012" cy="2238375"/>
        </a:xfrm>
        <a:prstGeom prst="roundRect">
          <a:avLst>
            <a:gd name="adj" fmla="val 14458"/>
          </a:avLst>
        </a:prstGeom>
        <a:solidFill>
          <a:schemeClr val="bg1">
            <a:alpha val="82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436558</xdr:colOff>
      <xdr:row>1</xdr:row>
      <xdr:rowOff>95250</xdr:rowOff>
    </xdr:from>
    <xdr:to>
      <xdr:col>23</xdr:col>
      <xdr:colOff>381000</xdr:colOff>
      <xdr:row>13</xdr:row>
      <xdr:rowOff>124354</xdr:rowOff>
    </xdr:to>
    <xdr:sp macro="" textlink="">
      <xdr:nvSpPr>
        <xdr:cNvPr id="20" name="Rectangle: Rounded Corners 19">
          <a:extLst>
            <a:ext uri="{FF2B5EF4-FFF2-40B4-BE49-F238E27FC236}">
              <a16:creationId xmlns:a16="http://schemas.microsoft.com/office/drawing/2014/main" id="{40F24DD1-6544-4B6F-BA71-EBEAFDB64DF4}"/>
            </a:ext>
          </a:extLst>
        </xdr:cNvPr>
        <xdr:cNvSpPr/>
      </xdr:nvSpPr>
      <xdr:spPr>
        <a:xfrm>
          <a:off x="10288129" y="285750"/>
          <a:ext cx="4230692" cy="2315104"/>
        </a:xfrm>
        <a:prstGeom prst="roundRect">
          <a:avLst>
            <a:gd name="adj" fmla="val 14458"/>
          </a:avLst>
        </a:prstGeom>
        <a:solidFill>
          <a:schemeClr val="bg1">
            <a:alpha val="82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358927</xdr:colOff>
      <xdr:row>7</xdr:row>
      <xdr:rowOff>123976</xdr:rowOff>
    </xdr:from>
    <xdr:to>
      <xdr:col>10</xdr:col>
      <xdr:colOff>504976</xdr:colOff>
      <xdr:row>15</xdr:row>
      <xdr:rowOff>188799</xdr:rowOff>
    </xdr:to>
    <xdr:graphicFrame macro="">
      <xdr:nvGraphicFramePr>
        <xdr:cNvPr id="22" name="Chart 21">
          <a:extLst>
            <a:ext uri="{FF2B5EF4-FFF2-40B4-BE49-F238E27FC236}">
              <a16:creationId xmlns:a16="http://schemas.microsoft.com/office/drawing/2014/main" id="{2FCEA334-7A2D-43E4-85E9-DCAA428CF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610621</xdr:colOff>
      <xdr:row>7</xdr:row>
      <xdr:rowOff>113959</xdr:rowOff>
    </xdr:from>
    <xdr:to>
      <xdr:col>16</xdr:col>
      <xdr:colOff>264017</xdr:colOff>
      <xdr:row>16</xdr:row>
      <xdr:rowOff>6804</xdr:rowOff>
    </xdr:to>
    <xdr:graphicFrame macro="">
      <xdr:nvGraphicFramePr>
        <xdr:cNvPr id="23" name="Chart 22">
          <a:extLst>
            <a:ext uri="{FF2B5EF4-FFF2-40B4-BE49-F238E27FC236}">
              <a16:creationId xmlns:a16="http://schemas.microsoft.com/office/drawing/2014/main" id="{1ECC7842-5055-4548-8FCB-2492369AC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559592</xdr:colOff>
      <xdr:row>16</xdr:row>
      <xdr:rowOff>178594</xdr:rowOff>
    </xdr:from>
    <xdr:to>
      <xdr:col>23</xdr:col>
      <xdr:colOff>488156</xdr:colOff>
      <xdr:row>27</xdr:row>
      <xdr:rowOff>142873</xdr:rowOff>
    </xdr:to>
    <xdr:graphicFrame macro="">
      <xdr:nvGraphicFramePr>
        <xdr:cNvPr id="24" name="Chart 23">
          <a:extLst>
            <a:ext uri="{FF2B5EF4-FFF2-40B4-BE49-F238E27FC236}">
              <a16:creationId xmlns:a16="http://schemas.microsoft.com/office/drawing/2014/main" id="{56CEA95D-1ECE-40CD-91B0-D3D76375B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333375</xdr:colOff>
      <xdr:row>3</xdr:row>
      <xdr:rowOff>23812</xdr:rowOff>
    </xdr:from>
    <xdr:to>
      <xdr:col>23</xdr:col>
      <xdr:colOff>511969</xdr:colOff>
      <xdr:row>15</xdr:row>
      <xdr:rowOff>95251</xdr:rowOff>
    </xdr:to>
    <xdr:graphicFrame macro="">
      <xdr:nvGraphicFramePr>
        <xdr:cNvPr id="25" name="Chart 24">
          <a:extLst>
            <a:ext uri="{FF2B5EF4-FFF2-40B4-BE49-F238E27FC236}">
              <a16:creationId xmlns:a16="http://schemas.microsoft.com/office/drawing/2014/main" id="{5499F9C2-C335-4565-9FFF-88FBA0439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201083</xdr:colOff>
      <xdr:row>1</xdr:row>
      <xdr:rowOff>63500</xdr:rowOff>
    </xdr:from>
    <xdr:to>
      <xdr:col>16</xdr:col>
      <xdr:colOff>279402</xdr:colOff>
      <xdr:row>5</xdr:row>
      <xdr:rowOff>100543</xdr:rowOff>
    </xdr:to>
    <xdr:sp macro="" textlink="">
      <xdr:nvSpPr>
        <xdr:cNvPr id="26" name="Rectangle: Rounded Corners 25">
          <a:extLst>
            <a:ext uri="{FF2B5EF4-FFF2-40B4-BE49-F238E27FC236}">
              <a16:creationId xmlns:a16="http://schemas.microsoft.com/office/drawing/2014/main" id="{86CA335C-60A8-474A-B42D-15CF75A4855F}"/>
            </a:ext>
          </a:extLst>
        </xdr:cNvPr>
        <xdr:cNvSpPr/>
      </xdr:nvSpPr>
      <xdr:spPr>
        <a:xfrm>
          <a:off x="8761677" y="254000"/>
          <a:ext cx="1292756" cy="799043"/>
        </a:xfrm>
        <a:prstGeom prst="roundRect">
          <a:avLst>
            <a:gd name="adj" fmla="val 24705"/>
          </a:avLst>
        </a:prstGeom>
        <a:solidFill>
          <a:schemeClr val="bg1">
            <a:alpha val="8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317500</xdr:colOff>
      <xdr:row>1</xdr:row>
      <xdr:rowOff>84666</xdr:rowOff>
    </xdr:from>
    <xdr:to>
      <xdr:col>11</xdr:col>
      <xdr:colOff>480483</xdr:colOff>
      <xdr:row>5</xdr:row>
      <xdr:rowOff>105834</xdr:rowOff>
    </xdr:to>
    <xdr:sp macro="" textlink="">
      <xdr:nvSpPr>
        <xdr:cNvPr id="27" name="Rectangle: Rounded Corners 26">
          <a:extLst>
            <a:ext uri="{FF2B5EF4-FFF2-40B4-BE49-F238E27FC236}">
              <a16:creationId xmlns:a16="http://schemas.microsoft.com/office/drawing/2014/main" id="{CBC74CA4-340A-4DFB-A38C-BC1DB9955E38}"/>
            </a:ext>
          </a:extLst>
        </xdr:cNvPr>
        <xdr:cNvSpPr/>
      </xdr:nvSpPr>
      <xdr:spPr>
        <a:xfrm>
          <a:off x="5842000" y="275166"/>
          <a:ext cx="1377421" cy="783168"/>
        </a:xfrm>
        <a:prstGeom prst="roundRect">
          <a:avLst>
            <a:gd name="adj" fmla="val 24705"/>
          </a:avLst>
        </a:prstGeom>
        <a:solidFill>
          <a:schemeClr val="bg1">
            <a:alpha val="8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591344</xdr:colOff>
      <xdr:row>1</xdr:row>
      <xdr:rowOff>58209</xdr:rowOff>
    </xdr:from>
    <xdr:to>
      <xdr:col>14</xdr:col>
      <xdr:colOff>104510</xdr:colOff>
      <xdr:row>5</xdr:row>
      <xdr:rowOff>116418</xdr:rowOff>
    </xdr:to>
    <xdr:sp macro="" textlink="">
      <xdr:nvSpPr>
        <xdr:cNvPr id="28" name="Rectangle: Rounded Corners 27">
          <a:extLst>
            <a:ext uri="{FF2B5EF4-FFF2-40B4-BE49-F238E27FC236}">
              <a16:creationId xmlns:a16="http://schemas.microsoft.com/office/drawing/2014/main" id="{B1B0D555-B25B-475B-8C4C-B96DEA754417}"/>
            </a:ext>
          </a:extLst>
        </xdr:cNvPr>
        <xdr:cNvSpPr/>
      </xdr:nvSpPr>
      <xdr:spPr>
        <a:xfrm>
          <a:off x="7330282" y="248709"/>
          <a:ext cx="1334822" cy="820209"/>
        </a:xfrm>
        <a:prstGeom prst="roundRect">
          <a:avLst>
            <a:gd name="adj" fmla="val 24705"/>
          </a:avLst>
        </a:prstGeom>
        <a:solidFill>
          <a:schemeClr val="bg1">
            <a:alpha val="8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324116</xdr:colOff>
      <xdr:row>1</xdr:row>
      <xdr:rowOff>97896</xdr:rowOff>
    </xdr:from>
    <xdr:to>
      <xdr:col>9</xdr:col>
      <xdr:colOff>197116</xdr:colOff>
      <xdr:row>5</xdr:row>
      <xdr:rowOff>157427</xdr:rowOff>
    </xdr:to>
    <xdr:sp macro="" textlink="">
      <xdr:nvSpPr>
        <xdr:cNvPr id="32" name="TextBox 31">
          <a:extLst>
            <a:ext uri="{FF2B5EF4-FFF2-40B4-BE49-F238E27FC236}">
              <a16:creationId xmlns:a16="http://schemas.microsoft.com/office/drawing/2014/main" id="{39F916D5-3B33-42A4-BDAA-237162785FF1}"/>
            </a:ext>
          </a:extLst>
        </xdr:cNvPr>
        <xdr:cNvSpPr txBox="1"/>
      </xdr:nvSpPr>
      <xdr:spPr>
        <a:xfrm>
          <a:off x="3419741" y="288396"/>
          <a:ext cx="2301875" cy="821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latin typeface="Times New Roman" panose="02020603050405020304" pitchFamily="18" charset="0"/>
              <a:cs typeface="Times New Roman" panose="02020603050405020304" pitchFamily="18" charset="0"/>
            </a:rPr>
            <a:t>Sales Performance Analysis of TechMart Retail Store</a:t>
          </a:r>
          <a:endParaRPr lang="en-US" sz="1600" b="1">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9</xdr:col>
      <xdr:colOff>258536</xdr:colOff>
      <xdr:row>1</xdr:row>
      <xdr:rowOff>125488</xdr:rowOff>
    </xdr:from>
    <xdr:to>
      <xdr:col>11</xdr:col>
      <xdr:colOff>544286</xdr:colOff>
      <xdr:row>4</xdr:row>
      <xdr:rowOff>27213</xdr:rowOff>
    </xdr:to>
    <xdr:sp macro="" textlink="">
      <xdr:nvSpPr>
        <xdr:cNvPr id="2" name="TextBox 1">
          <a:extLst>
            <a:ext uri="{FF2B5EF4-FFF2-40B4-BE49-F238E27FC236}">
              <a16:creationId xmlns:a16="http://schemas.microsoft.com/office/drawing/2014/main" id="{70D20FF3-8B35-1499-0B0C-112C273FE854}"/>
            </a:ext>
          </a:extLst>
        </xdr:cNvPr>
        <xdr:cNvSpPr txBox="1"/>
      </xdr:nvSpPr>
      <xdr:spPr>
        <a:xfrm>
          <a:off x="5783036" y="315988"/>
          <a:ext cx="1500188" cy="47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Times New Roman" panose="02020603050405020304" pitchFamily="18" charset="0"/>
              <a:cs typeface="Times New Roman" panose="02020603050405020304" pitchFamily="18" charset="0"/>
            </a:rPr>
            <a:t>TOTAL</a:t>
          </a:r>
          <a:r>
            <a:rPr lang="en-US" sz="1200" b="1" baseline="0">
              <a:latin typeface="Times New Roman" panose="02020603050405020304" pitchFamily="18" charset="0"/>
              <a:cs typeface="Times New Roman" panose="02020603050405020304" pitchFamily="18" charset="0"/>
            </a:rPr>
            <a:t> REVENUE GENERATED</a:t>
          </a:r>
        </a:p>
        <a:p>
          <a:pPr algn="ctr"/>
          <a:endParaRPr lang="en-US" sz="1100" b="1" baseline="0">
            <a:latin typeface="Times New Roman" panose="02020603050405020304" pitchFamily="18" charset="0"/>
            <a:cs typeface="Times New Roman" panose="02020603050405020304" pitchFamily="18" charset="0"/>
          </a:endParaRPr>
        </a:p>
        <a:p>
          <a:pPr algn="ctr"/>
          <a:endParaRPr lang="en-US" sz="1100" b="1" baseline="0">
            <a:latin typeface="Times New Roman" panose="02020603050405020304" pitchFamily="18" charset="0"/>
            <a:cs typeface="Times New Roman" panose="02020603050405020304" pitchFamily="18" charset="0"/>
          </a:endParaRPr>
        </a:p>
        <a:p>
          <a:pPr algn="ct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9</xdr:col>
      <xdr:colOff>465665</xdr:colOff>
      <xdr:row>3</xdr:row>
      <xdr:rowOff>148166</xdr:rowOff>
    </xdr:from>
    <xdr:to>
      <xdr:col>11</xdr:col>
      <xdr:colOff>338665</xdr:colOff>
      <xdr:row>5</xdr:row>
      <xdr:rowOff>137582</xdr:rowOff>
    </xdr:to>
    <xdr:sp macro="" textlink="">
      <xdr:nvSpPr>
        <xdr:cNvPr id="4" name="TextBox 3">
          <a:extLst>
            <a:ext uri="{FF2B5EF4-FFF2-40B4-BE49-F238E27FC236}">
              <a16:creationId xmlns:a16="http://schemas.microsoft.com/office/drawing/2014/main" id="{CF965A48-6A2A-EFE2-4D8F-18F22BD91258}"/>
            </a:ext>
          </a:extLst>
        </xdr:cNvPr>
        <xdr:cNvSpPr txBox="1"/>
      </xdr:nvSpPr>
      <xdr:spPr>
        <a:xfrm>
          <a:off x="5990165" y="719666"/>
          <a:ext cx="1087438"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1.26M</a:t>
          </a:r>
        </a:p>
      </xdr:txBody>
    </xdr:sp>
    <xdr:clientData/>
  </xdr:twoCellAnchor>
  <xdr:twoCellAnchor>
    <xdr:from>
      <xdr:col>6</xdr:col>
      <xdr:colOff>340179</xdr:colOff>
      <xdr:row>16</xdr:row>
      <xdr:rowOff>54429</xdr:rowOff>
    </xdr:from>
    <xdr:to>
      <xdr:col>9</xdr:col>
      <xdr:colOff>598714</xdr:colOff>
      <xdr:row>17</xdr:row>
      <xdr:rowOff>178596</xdr:rowOff>
    </xdr:to>
    <xdr:sp macro="" textlink="">
      <xdr:nvSpPr>
        <xdr:cNvPr id="5" name="Rectangle: Rounded Corners 4">
          <a:extLst>
            <a:ext uri="{FF2B5EF4-FFF2-40B4-BE49-F238E27FC236}">
              <a16:creationId xmlns:a16="http://schemas.microsoft.com/office/drawing/2014/main" id="{3D8DB942-4F78-4C35-A26C-586265C2F554}"/>
            </a:ext>
          </a:extLst>
        </xdr:cNvPr>
        <xdr:cNvSpPr/>
      </xdr:nvSpPr>
      <xdr:spPr>
        <a:xfrm>
          <a:off x="4068536" y="3102429"/>
          <a:ext cx="2095499" cy="314667"/>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353786</xdr:colOff>
      <xdr:row>6</xdr:row>
      <xdr:rowOff>54429</xdr:rowOff>
    </xdr:from>
    <xdr:to>
      <xdr:col>9</xdr:col>
      <xdr:colOff>489857</xdr:colOff>
      <xdr:row>7</xdr:row>
      <xdr:rowOff>158482</xdr:rowOff>
    </xdr:to>
    <xdr:sp macro="" textlink="">
      <xdr:nvSpPr>
        <xdr:cNvPr id="7" name="Rectangle: Rounded Corners 6">
          <a:extLst>
            <a:ext uri="{FF2B5EF4-FFF2-40B4-BE49-F238E27FC236}">
              <a16:creationId xmlns:a16="http://schemas.microsoft.com/office/drawing/2014/main" id="{F5461180-2D9F-4A7A-B5A0-AB70709A65B3}"/>
            </a:ext>
          </a:extLst>
        </xdr:cNvPr>
        <xdr:cNvSpPr/>
      </xdr:nvSpPr>
      <xdr:spPr>
        <a:xfrm>
          <a:off x="4082143" y="1197429"/>
          <a:ext cx="1973035" cy="294553"/>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163286</xdr:colOff>
      <xdr:row>16</xdr:row>
      <xdr:rowOff>54429</xdr:rowOff>
    </xdr:from>
    <xdr:to>
      <xdr:col>15</xdr:col>
      <xdr:colOff>236086</xdr:colOff>
      <xdr:row>18</xdr:row>
      <xdr:rowOff>3703</xdr:rowOff>
    </xdr:to>
    <xdr:sp macro="" textlink="">
      <xdr:nvSpPr>
        <xdr:cNvPr id="8" name="Rectangle: Rounded Corners 7">
          <a:extLst>
            <a:ext uri="{FF2B5EF4-FFF2-40B4-BE49-F238E27FC236}">
              <a16:creationId xmlns:a16="http://schemas.microsoft.com/office/drawing/2014/main" id="{E79A3F1F-AF10-47F8-AABB-D7FE9B396BC5}"/>
            </a:ext>
          </a:extLst>
        </xdr:cNvPr>
        <xdr:cNvSpPr/>
      </xdr:nvSpPr>
      <xdr:spPr>
        <a:xfrm>
          <a:off x="7565572" y="3102429"/>
          <a:ext cx="1909764" cy="330274"/>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571500</xdr:colOff>
      <xdr:row>14</xdr:row>
      <xdr:rowOff>95251</xdr:rowOff>
    </xdr:from>
    <xdr:to>
      <xdr:col>22</xdr:col>
      <xdr:colOff>326571</xdr:colOff>
      <xdr:row>16</xdr:row>
      <xdr:rowOff>54431</xdr:rowOff>
    </xdr:to>
    <xdr:sp macro="" textlink="">
      <xdr:nvSpPr>
        <xdr:cNvPr id="10" name="Rectangle: Rounded Corners 9">
          <a:extLst>
            <a:ext uri="{FF2B5EF4-FFF2-40B4-BE49-F238E27FC236}">
              <a16:creationId xmlns:a16="http://schemas.microsoft.com/office/drawing/2014/main" id="{DAB14B39-EB61-490E-B44A-CC71103E9BB3}"/>
            </a:ext>
          </a:extLst>
        </xdr:cNvPr>
        <xdr:cNvSpPr/>
      </xdr:nvSpPr>
      <xdr:spPr>
        <a:xfrm>
          <a:off x="11035393" y="2762251"/>
          <a:ext cx="2816678" cy="340180"/>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530679</xdr:colOff>
      <xdr:row>6</xdr:row>
      <xdr:rowOff>13607</xdr:rowOff>
    </xdr:from>
    <xdr:to>
      <xdr:col>15</xdr:col>
      <xdr:colOff>462642</xdr:colOff>
      <xdr:row>7</xdr:row>
      <xdr:rowOff>95250</xdr:rowOff>
    </xdr:to>
    <xdr:sp macro="" textlink="">
      <xdr:nvSpPr>
        <xdr:cNvPr id="11" name="Rectangle: Rounded Corners 10">
          <a:extLst>
            <a:ext uri="{FF2B5EF4-FFF2-40B4-BE49-F238E27FC236}">
              <a16:creationId xmlns:a16="http://schemas.microsoft.com/office/drawing/2014/main" id="{60FC1ED4-73F2-42DA-BE03-1F3A4FA63D52}"/>
            </a:ext>
          </a:extLst>
        </xdr:cNvPr>
        <xdr:cNvSpPr/>
      </xdr:nvSpPr>
      <xdr:spPr>
        <a:xfrm>
          <a:off x="7320643" y="1156607"/>
          <a:ext cx="2381249" cy="272143"/>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54429</xdr:colOff>
      <xdr:row>1</xdr:row>
      <xdr:rowOff>81643</xdr:rowOff>
    </xdr:from>
    <xdr:to>
      <xdr:col>22</xdr:col>
      <xdr:colOff>285750</xdr:colOff>
      <xdr:row>2</xdr:row>
      <xdr:rowOff>149679</xdr:rowOff>
    </xdr:to>
    <xdr:sp macro="" textlink="">
      <xdr:nvSpPr>
        <xdr:cNvPr id="12" name="Rectangle: Rounded Corners 11">
          <a:extLst>
            <a:ext uri="{FF2B5EF4-FFF2-40B4-BE49-F238E27FC236}">
              <a16:creationId xmlns:a16="http://schemas.microsoft.com/office/drawing/2014/main" id="{9ED83CE2-F2F2-43C0-8AC3-4CCA13CB5E20}"/>
            </a:ext>
          </a:extLst>
        </xdr:cNvPr>
        <xdr:cNvSpPr/>
      </xdr:nvSpPr>
      <xdr:spPr>
        <a:xfrm>
          <a:off x="11130643" y="272143"/>
          <a:ext cx="2680607" cy="258536"/>
        </a:xfrm>
        <a:prstGeom prst="roundRect">
          <a:avLst>
            <a:gd name="adj" fmla="val 24705"/>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433728</xdr:colOff>
      <xdr:row>1</xdr:row>
      <xdr:rowOff>81643</xdr:rowOff>
    </xdr:from>
    <xdr:to>
      <xdr:col>5</xdr:col>
      <xdr:colOff>272143</xdr:colOff>
      <xdr:row>26</xdr:row>
      <xdr:rowOff>108857</xdr:rowOff>
    </xdr:to>
    <xdr:sp macro="" textlink="">
      <xdr:nvSpPr>
        <xdr:cNvPr id="13" name="Rectangle: Rounded Corners 12">
          <a:extLst>
            <a:ext uri="{FF2B5EF4-FFF2-40B4-BE49-F238E27FC236}">
              <a16:creationId xmlns:a16="http://schemas.microsoft.com/office/drawing/2014/main" id="{8AADCA45-7F8B-433F-BD10-B6916A2C552E}"/>
            </a:ext>
          </a:extLst>
        </xdr:cNvPr>
        <xdr:cNvSpPr/>
      </xdr:nvSpPr>
      <xdr:spPr>
        <a:xfrm>
          <a:off x="1648166" y="272143"/>
          <a:ext cx="1719602" cy="4789714"/>
        </a:xfrm>
        <a:prstGeom prst="roundRect">
          <a:avLst>
            <a:gd name="adj" fmla="val 14458"/>
          </a:avLst>
        </a:prstGeom>
        <a:solidFill>
          <a:schemeClr val="bg1">
            <a:alpha val="89000"/>
          </a:schemeClr>
        </a:solidFill>
        <a:ln>
          <a:solidFill>
            <a:schemeClr val="accent1">
              <a:shade val="15000"/>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515369</xdr:colOff>
      <xdr:row>5</xdr:row>
      <xdr:rowOff>81643</xdr:rowOff>
    </xdr:from>
    <xdr:to>
      <xdr:col>5</xdr:col>
      <xdr:colOff>204107</xdr:colOff>
      <xdr:row>10</xdr:row>
      <xdr:rowOff>149678</xdr:rowOff>
    </xdr:to>
    <mc:AlternateContent xmlns:mc="http://schemas.openxmlformats.org/markup-compatibility/2006" xmlns:a14="http://schemas.microsoft.com/office/drawing/2010/main">
      <mc:Choice Requires="a14">
        <xdr:graphicFrame macro="">
          <xdr:nvGraphicFramePr>
            <xdr:cNvPr id="29" name="Years (Date) 2">
              <a:extLst>
                <a:ext uri="{FF2B5EF4-FFF2-40B4-BE49-F238E27FC236}">
                  <a16:creationId xmlns:a16="http://schemas.microsoft.com/office/drawing/2014/main" id="{B05E10C9-8C0B-4062-A849-0C8EAFB6D836}"/>
                </a:ext>
              </a:extLst>
            </xdr:cNvPr>
            <xdr:cNvGraphicFramePr/>
          </xdr:nvGraphicFramePr>
          <xdr:xfrm>
            <a:off x="0" y="0"/>
            <a:ext cx="0" cy="0"/>
          </xdr:xfrm>
          <a:graphic>
            <a:graphicData uri="http://schemas.microsoft.com/office/drawing/2010/slicer">
              <sle:slicer xmlns:sle="http://schemas.microsoft.com/office/drawing/2010/slicer" name="Years (Date) 2"/>
            </a:graphicData>
          </a:graphic>
        </xdr:graphicFrame>
      </mc:Choice>
      <mc:Fallback xmlns="">
        <xdr:sp macro="" textlink="">
          <xdr:nvSpPr>
            <xdr:cNvPr id="0" name=""/>
            <xdr:cNvSpPr>
              <a:spLocks noTextEdit="1"/>
            </xdr:cNvSpPr>
          </xdr:nvSpPr>
          <xdr:spPr>
            <a:xfrm>
              <a:off x="1729807" y="1034143"/>
              <a:ext cx="1569925" cy="1020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569800</xdr:colOff>
      <xdr:row>2</xdr:row>
      <xdr:rowOff>13608</xdr:rowOff>
    </xdr:from>
    <xdr:to>
      <xdr:col>5</xdr:col>
      <xdr:colOff>95251</xdr:colOff>
      <xdr:row>3</xdr:row>
      <xdr:rowOff>149679</xdr:rowOff>
    </xdr:to>
    <xdr:sp macro="" textlink="">
      <xdr:nvSpPr>
        <xdr:cNvPr id="21" name="Rectangle: Rounded Corners 20">
          <a:extLst>
            <a:ext uri="{FF2B5EF4-FFF2-40B4-BE49-F238E27FC236}">
              <a16:creationId xmlns:a16="http://schemas.microsoft.com/office/drawing/2014/main" id="{E30A65C8-99E4-4399-9499-826861A053F8}"/>
            </a:ext>
          </a:extLst>
        </xdr:cNvPr>
        <xdr:cNvSpPr/>
      </xdr:nvSpPr>
      <xdr:spPr>
        <a:xfrm>
          <a:off x="1784238" y="394608"/>
          <a:ext cx="1406638" cy="326571"/>
        </a:xfrm>
        <a:prstGeom prst="roundRect">
          <a:avLst>
            <a:gd name="adj" fmla="val 36243"/>
          </a:avLst>
        </a:prstGeom>
        <a:solidFill>
          <a:srgbClr val="0F2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571499</xdr:colOff>
      <xdr:row>1</xdr:row>
      <xdr:rowOff>190499</xdr:rowOff>
    </xdr:from>
    <xdr:to>
      <xdr:col>5</xdr:col>
      <xdr:colOff>95250</xdr:colOff>
      <xdr:row>3</xdr:row>
      <xdr:rowOff>81642</xdr:rowOff>
    </xdr:to>
    <xdr:sp macro="" textlink="">
      <xdr:nvSpPr>
        <xdr:cNvPr id="30" name="TextBox 29">
          <a:extLst>
            <a:ext uri="{FF2B5EF4-FFF2-40B4-BE49-F238E27FC236}">
              <a16:creationId xmlns:a16="http://schemas.microsoft.com/office/drawing/2014/main" id="{2793CA21-067D-EA5C-B450-35DFCC430E62}"/>
            </a:ext>
          </a:extLst>
        </xdr:cNvPr>
        <xdr:cNvSpPr txBox="1"/>
      </xdr:nvSpPr>
      <xdr:spPr>
        <a:xfrm>
          <a:off x="1785937" y="380999"/>
          <a:ext cx="140493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Times New Roman" panose="02020603050405020304" pitchFamily="18" charset="0"/>
              <a:cs typeface="Times New Roman" panose="02020603050405020304" pitchFamily="18" charset="0"/>
            </a:rPr>
            <a:t>SLICER</a:t>
          </a:r>
        </a:p>
      </xdr:txBody>
    </xdr:sp>
    <xdr:clientData/>
  </xdr:twoCellAnchor>
  <xdr:twoCellAnchor editAs="oneCell">
    <xdr:from>
      <xdr:col>2</xdr:col>
      <xdr:colOff>503464</xdr:colOff>
      <xdr:row>10</xdr:row>
      <xdr:rowOff>163287</xdr:rowOff>
    </xdr:from>
    <xdr:to>
      <xdr:col>5</xdr:col>
      <xdr:colOff>231321</xdr:colOff>
      <xdr:row>17</xdr:row>
      <xdr:rowOff>122465</xdr:rowOff>
    </xdr:to>
    <mc:AlternateContent xmlns:mc="http://schemas.openxmlformats.org/markup-compatibility/2006" xmlns:a14="http://schemas.microsoft.com/office/drawing/2010/main">
      <mc:Choice Requires="a14">
        <xdr:graphicFrame macro="">
          <xdr:nvGraphicFramePr>
            <xdr:cNvPr id="31" name="CouponCode 2">
              <a:extLst>
                <a:ext uri="{FF2B5EF4-FFF2-40B4-BE49-F238E27FC236}">
                  <a16:creationId xmlns:a16="http://schemas.microsoft.com/office/drawing/2014/main" id="{326B0AFD-9C42-4FA1-AFCD-07334C34961A}"/>
                </a:ext>
              </a:extLst>
            </xdr:cNvPr>
            <xdr:cNvGraphicFramePr/>
          </xdr:nvGraphicFramePr>
          <xdr:xfrm>
            <a:off x="0" y="0"/>
            <a:ext cx="0" cy="0"/>
          </xdr:xfrm>
          <a:graphic>
            <a:graphicData uri="http://schemas.microsoft.com/office/drawing/2010/slicer">
              <sle:slicer xmlns:sle="http://schemas.microsoft.com/office/drawing/2010/slicer" name="CouponCode 2"/>
            </a:graphicData>
          </a:graphic>
        </xdr:graphicFrame>
      </mc:Choice>
      <mc:Fallback xmlns="">
        <xdr:sp macro="" textlink="">
          <xdr:nvSpPr>
            <xdr:cNvPr id="0" name=""/>
            <xdr:cNvSpPr>
              <a:spLocks noTextEdit="1"/>
            </xdr:cNvSpPr>
          </xdr:nvSpPr>
          <xdr:spPr>
            <a:xfrm>
              <a:off x="1717902" y="2068287"/>
              <a:ext cx="1609044" cy="1292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544285</xdr:colOff>
      <xdr:row>17</xdr:row>
      <xdr:rowOff>176893</xdr:rowOff>
    </xdr:from>
    <xdr:to>
      <xdr:col>5</xdr:col>
      <xdr:colOff>190499</xdr:colOff>
      <xdr:row>25</xdr:row>
      <xdr:rowOff>163286</xdr:rowOff>
    </xdr:to>
    <mc:AlternateContent xmlns:mc="http://schemas.openxmlformats.org/markup-compatibility/2006" xmlns:a14="http://schemas.microsoft.com/office/drawing/2010/main">
      <mc:Choice Requires="a14">
        <xdr:graphicFrame macro="">
          <xdr:nvGraphicFramePr>
            <xdr:cNvPr id="33" name="ReferralSource 1">
              <a:extLst>
                <a:ext uri="{FF2B5EF4-FFF2-40B4-BE49-F238E27FC236}">
                  <a16:creationId xmlns:a16="http://schemas.microsoft.com/office/drawing/2014/main" id="{899B0412-F8D7-49A0-907C-6D256D4DCBFC}"/>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1758723" y="3415393"/>
              <a:ext cx="1527401" cy="1510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564130</xdr:colOff>
      <xdr:row>1</xdr:row>
      <xdr:rowOff>85422</xdr:rowOff>
    </xdr:from>
    <xdr:to>
      <xdr:col>14</xdr:col>
      <xdr:colOff>121141</xdr:colOff>
      <xdr:row>3</xdr:row>
      <xdr:rowOff>163285</xdr:rowOff>
    </xdr:to>
    <xdr:sp macro="" textlink="">
      <xdr:nvSpPr>
        <xdr:cNvPr id="35" name="TextBox 34">
          <a:extLst>
            <a:ext uri="{FF2B5EF4-FFF2-40B4-BE49-F238E27FC236}">
              <a16:creationId xmlns:a16="http://schemas.microsoft.com/office/drawing/2014/main" id="{ABBB24F3-EF02-40DC-BEE7-1D2FBC3CEF2F}"/>
            </a:ext>
          </a:extLst>
        </xdr:cNvPr>
        <xdr:cNvSpPr txBox="1"/>
      </xdr:nvSpPr>
      <xdr:spPr>
        <a:xfrm>
          <a:off x="7303068" y="275922"/>
          <a:ext cx="1378667" cy="458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atin typeface="Times New Roman" panose="02020603050405020304" pitchFamily="18" charset="0"/>
              <a:cs typeface="Times New Roman" panose="02020603050405020304" pitchFamily="18" charset="0"/>
            </a:rPr>
            <a:t>TOTAL CUSTOMER</a:t>
          </a:r>
        </a:p>
        <a:p>
          <a:pPr algn="ctr"/>
          <a:endParaRPr lang="en-US" sz="1100" b="1" baseline="0">
            <a:latin typeface="Times New Roman" panose="02020603050405020304" pitchFamily="18" charset="0"/>
            <a:cs typeface="Times New Roman" panose="02020603050405020304" pitchFamily="18" charset="0"/>
          </a:endParaRPr>
        </a:p>
        <a:p>
          <a:pPr algn="ct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12</xdr:col>
      <xdr:colOff>128701</xdr:colOff>
      <xdr:row>3</xdr:row>
      <xdr:rowOff>153460</xdr:rowOff>
    </xdr:from>
    <xdr:to>
      <xdr:col>14</xdr:col>
      <xdr:colOff>1701</xdr:colOff>
      <xdr:row>5</xdr:row>
      <xdr:rowOff>142876</xdr:rowOff>
    </xdr:to>
    <xdr:sp macro="" textlink="">
      <xdr:nvSpPr>
        <xdr:cNvPr id="37" name="TextBox 36">
          <a:extLst>
            <a:ext uri="{FF2B5EF4-FFF2-40B4-BE49-F238E27FC236}">
              <a16:creationId xmlns:a16="http://schemas.microsoft.com/office/drawing/2014/main" id="{FCC32D93-8D27-4946-B6A6-ECB8C1347C6F}"/>
            </a:ext>
          </a:extLst>
        </xdr:cNvPr>
        <xdr:cNvSpPr txBox="1"/>
      </xdr:nvSpPr>
      <xdr:spPr>
        <a:xfrm>
          <a:off x="7474857" y="724960"/>
          <a:ext cx="1087438"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1200</a:t>
          </a:r>
        </a:p>
      </xdr:txBody>
    </xdr:sp>
    <xdr:clientData/>
  </xdr:twoCellAnchor>
  <xdr:twoCellAnchor>
    <xdr:from>
      <xdr:col>14</xdr:col>
      <xdr:colOff>136071</xdr:colOff>
      <xdr:row>1</xdr:row>
      <xdr:rowOff>36287</xdr:rowOff>
    </xdr:from>
    <xdr:to>
      <xdr:col>16</xdr:col>
      <xdr:colOff>305405</xdr:colOff>
      <xdr:row>3</xdr:row>
      <xdr:rowOff>122465</xdr:rowOff>
    </xdr:to>
    <xdr:sp macro="" textlink="">
      <xdr:nvSpPr>
        <xdr:cNvPr id="38" name="TextBox 37">
          <a:extLst>
            <a:ext uri="{FF2B5EF4-FFF2-40B4-BE49-F238E27FC236}">
              <a16:creationId xmlns:a16="http://schemas.microsoft.com/office/drawing/2014/main" id="{C6C17DAD-2D3F-45E8-B495-AEC73E058175}"/>
            </a:ext>
          </a:extLst>
        </xdr:cNvPr>
        <xdr:cNvSpPr txBox="1"/>
      </xdr:nvSpPr>
      <xdr:spPr>
        <a:xfrm>
          <a:off x="8763000" y="226787"/>
          <a:ext cx="1393976" cy="467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atin typeface="Times New Roman" panose="02020603050405020304" pitchFamily="18" charset="0"/>
              <a:cs typeface="Times New Roman" panose="02020603050405020304" pitchFamily="18" charset="0"/>
            </a:rPr>
            <a:t>TOTAL </a:t>
          </a:r>
        </a:p>
        <a:p>
          <a:pPr algn="ctr"/>
          <a:r>
            <a:rPr lang="en-US" sz="1200" b="1" baseline="0">
              <a:latin typeface="Times New Roman" panose="02020603050405020304" pitchFamily="18" charset="0"/>
              <a:cs typeface="Times New Roman" panose="02020603050405020304" pitchFamily="18" charset="0"/>
            </a:rPr>
            <a:t>ORDERS</a:t>
          </a:r>
        </a:p>
        <a:p>
          <a:pPr algn="ctr"/>
          <a:endParaRPr lang="en-US" sz="1200" b="1" baseline="0">
            <a:latin typeface="Times New Roman" panose="02020603050405020304" pitchFamily="18" charset="0"/>
            <a:cs typeface="Times New Roman" panose="02020603050405020304" pitchFamily="18" charset="0"/>
          </a:endParaRPr>
        </a:p>
        <a:p>
          <a:pPr algn="ctr"/>
          <a:endParaRPr lang="en-US" sz="1100" b="1" baseline="0">
            <a:latin typeface="Times New Roman" panose="02020603050405020304" pitchFamily="18" charset="0"/>
            <a:cs typeface="Times New Roman" panose="02020603050405020304" pitchFamily="18" charset="0"/>
          </a:endParaRPr>
        </a:p>
        <a:p>
          <a:pPr algn="ct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14</xdr:col>
      <xdr:colOff>312963</xdr:colOff>
      <xdr:row>3</xdr:row>
      <xdr:rowOff>145143</xdr:rowOff>
    </xdr:from>
    <xdr:to>
      <xdr:col>16</xdr:col>
      <xdr:colOff>185964</xdr:colOff>
      <xdr:row>5</xdr:row>
      <xdr:rowOff>134559</xdr:rowOff>
    </xdr:to>
    <xdr:sp macro="" textlink="">
      <xdr:nvSpPr>
        <xdr:cNvPr id="39" name="TextBox 38">
          <a:extLst>
            <a:ext uri="{FF2B5EF4-FFF2-40B4-BE49-F238E27FC236}">
              <a16:creationId xmlns:a16="http://schemas.microsoft.com/office/drawing/2014/main" id="{805E3841-2965-4098-95B5-6DCC90DCAC93}"/>
            </a:ext>
          </a:extLst>
        </xdr:cNvPr>
        <xdr:cNvSpPr txBox="1"/>
      </xdr:nvSpPr>
      <xdr:spPr>
        <a:xfrm>
          <a:off x="8939892" y="716643"/>
          <a:ext cx="1097643"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Times New Roman" panose="02020603050405020304" pitchFamily="18" charset="0"/>
              <a:cs typeface="Times New Roman" panose="02020603050405020304" pitchFamily="18" charset="0"/>
            </a:rPr>
            <a:t>1200</a:t>
          </a:r>
        </a:p>
      </xdr:txBody>
    </xdr:sp>
    <xdr:clientData/>
  </xdr:twoCellAnchor>
  <xdr:twoCellAnchor>
    <xdr:from>
      <xdr:col>6</xdr:col>
      <xdr:colOff>299357</xdr:colOff>
      <xdr:row>6</xdr:row>
      <xdr:rowOff>73136</xdr:rowOff>
    </xdr:from>
    <xdr:to>
      <xdr:col>9</xdr:col>
      <xdr:colOff>544285</xdr:colOff>
      <xdr:row>8</xdr:row>
      <xdr:rowOff>27214</xdr:rowOff>
    </xdr:to>
    <xdr:sp macro="" textlink="">
      <xdr:nvSpPr>
        <xdr:cNvPr id="40" name="TextBox 39">
          <a:extLst>
            <a:ext uri="{FF2B5EF4-FFF2-40B4-BE49-F238E27FC236}">
              <a16:creationId xmlns:a16="http://schemas.microsoft.com/office/drawing/2014/main" id="{B06068B3-0A0A-42B4-85B2-4C0B7EA389CE}"/>
            </a:ext>
          </a:extLst>
        </xdr:cNvPr>
        <xdr:cNvSpPr txBox="1"/>
      </xdr:nvSpPr>
      <xdr:spPr>
        <a:xfrm>
          <a:off x="4027714" y="1216136"/>
          <a:ext cx="2081892" cy="33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cs typeface="Times New Roman" panose="02020603050405020304" pitchFamily="18" charset="0"/>
            </a:rPr>
            <a:t>REVENUE</a:t>
          </a:r>
          <a:r>
            <a:rPr lang="en-US" sz="1200" b="1" baseline="0">
              <a:solidFill>
                <a:schemeClr val="bg1"/>
              </a:solidFill>
              <a:latin typeface="Times New Roman" panose="02020603050405020304" pitchFamily="18" charset="0"/>
              <a:cs typeface="Times New Roman" panose="02020603050405020304" pitchFamily="18" charset="0"/>
            </a:rPr>
            <a:t> BY PRODUCT</a:t>
          </a:r>
        </a:p>
      </xdr:txBody>
    </xdr:sp>
    <xdr:clientData/>
  </xdr:twoCellAnchor>
  <xdr:twoCellAnchor>
    <xdr:from>
      <xdr:col>11</xdr:col>
      <xdr:colOff>421822</xdr:colOff>
      <xdr:row>6</xdr:row>
      <xdr:rowOff>27213</xdr:rowOff>
    </xdr:from>
    <xdr:to>
      <xdr:col>15</xdr:col>
      <xdr:colOff>585107</xdr:colOff>
      <xdr:row>7</xdr:row>
      <xdr:rowOff>136070</xdr:rowOff>
    </xdr:to>
    <xdr:sp macro="" textlink="">
      <xdr:nvSpPr>
        <xdr:cNvPr id="41" name="TextBox 40">
          <a:extLst>
            <a:ext uri="{FF2B5EF4-FFF2-40B4-BE49-F238E27FC236}">
              <a16:creationId xmlns:a16="http://schemas.microsoft.com/office/drawing/2014/main" id="{F4507981-E873-47F1-9944-445C5B38F84A}"/>
            </a:ext>
          </a:extLst>
        </xdr:cNvPr>
        <xdr:cNvSpPr txBox="1"/>
      </xdr:nvSpPr>
      <xdr:spPr>
        <a:xfrm>
          <a:off x="7211786" y="1170213"/>
          <a:ext cx="2612571"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cs typeface="Times New Roman" panose="02020603050405020304" pitchFamily="18" charset="0"/>
            </a:rPr>
            <a:t>REVENUE BY COUPON CODE</a:t>
          </a:r>
        </a:p>
        <a:p>
          <a:pPr algn="ct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68036</xdr:colOff>
      <xdr:row>1</xdr:row>
      <xdr:rowOff>81643</xdr:rowOff>
    </xdr:from>
    <xdr:to>
      <xdr:col>22</xdr:col>
      <xdr:colOff>299357</xdr:colOff>
      <xdr:row>2</xdr:row>
      <xdr:rowOff>163286</xdr:rowOff>
    </xdr:to>
    <xdr:sp macro="" textlink="">
      <xdr:nvSpPr>
        <xdr:cNvPr id="42" name="TextBox 41">
          <a:extLst>
            <a:ext uri="{FF2B5EF4-FFF2-40B4-BE49-F238E27FC236}">
              <a16:creationId xmlns:a16="http://schemas.microsoft.com/office/drawing/2014/main" id="{03552BA2-21B4-43FD-993B-3FCF7B8C7F4B}"/>
            </a:ext>
          </a:extLst>
        </xdr:cNvPr>
        <xdr:cNvSpPr txBox="1"/>
      </xdr:nvSpPr>
      <xdr:spPr>
        <a:xfrm>
          <a:off x="11144250" y="272143"/>
          <a:ext cx="2680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cs typeface="Times New Roman" panose="02020603050405020304" pitchFamily="18" charset="0"/>
            </a:rPr>
            <a:t>REVENUE</a:t>
          </a:r>
          <a:r>
            <a:rPr lang="en-US" sz="1200" b="1" baseline="0">
              <a:solidFill>
                <a:schemeClr val="bg1"/>
              </a:solidFill>
              <a:latin typeface="Times New Roman" panose="02020603050405020304" pitchFamily="18" charset="0"/>
              <a:cs typeface="Times New Roman" panose="02020603050405020304" pitchFamily="18" charset="0"/>
            </a:rPr>
            <a:t> BY PAYMENT OPTION</a:t>
          </a:r>
          <a:endParaRPr lang="en-US" sz="1200" b="1">
            <a:solidFill>
              <a:schemeClr val="bg1"/>
            </a:solidFill>
            <a:latin typeface="Times New Roman" panose="02020603050405020304" pitchFamily="18" charset="0"/>
            <a:cs typeface="Times New Roman" panose="02020603050405020304" pitchFamily="18" charset="0"/>
          </a:endParaRPr>
        </a:p>
        <a:p>
          <a:pPr algn="ct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350383</xdr:colOff>
      <xdr:row>16</xdr:row>
      <xdr:rowOff>106855</xdr:rowOff>
    </xdr:from>
    <xdr:to>
      <xdr:col>9</xdr:col>
      <xdr:colOff>595311</xdr:colOff>
      <xdr:row>18</xdr:row>
      <xdr:rowOff>60933</xdr:rowOff>
    </xdr:to>
    <xdr:sp macro="" textlink="">
      <xdr:nvSpPr>
        <xdr:cNvPr id="43" name="TextBox 42">
          <a:extLst>
            <a:ext uri="{FF2B5EF4-FFF2-40B4-BE49-F238E27FC236}">
              <a16:creationId xmlns:a16="http://schemas.microsoft.com/office/drawing/2014/main" id="{3BD36EAD-A1EF-4E7F-AB7A-4D9A55DE1CBC}"/>
            </a:ext>
          </a:extLst>
        </xdr:cNvPr>
        <xdr:cNvSpPr txBox="1"/>
      </xdr:nvSpPr>
      <xdr:spPr>
        <a:xfrm>
          <a:off x="4078740" y="3154855"/>
          <a:ext cx="2081892" cy="335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bg1"/>
              </a:solidFill>
              <a:latin typeface="Times New Roman" panose="02020603050405020304" pitchFamily="18" charset="0"/>
              <a:cs typeface="Times New Roman" panose="02020603050405020304" pitchFamily="18" charset="0"/>
            </a:rPr>
            <a:t>TRANSACTIONS</a:t>
          </a:r>
        </a:p>
        <a:p>
          <a:pPr algn="ctr"/>
          <a:endParaRPr lang="en-US" sz="1200" b="1"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244928</xdr:colOff>
      <xdr:row>16</xdr:row>
      <xdr:rowOff>81643</xdr:rowOff>
    </xdr:from>
    <xdr:to>
      <xdr:col>15</xdr:col>
      <xdr:colOff>204107</xdr:colOff>
      <xdr:row>18</xdr:row>
      <xdr:rowOff>62934</xdr:rowOff>
    </xdr:to>
    <xdr:sp macro="" textlink="">
      <xdr:nvSpPr>
        <xdr:cNvPr id="44" name="TextBox 43">
          <a:extLst>
            <a:ext uri="{FF2B5EF4-FFF2-40B4-BE49-F238E27FC236}">
              <a16:creationId xmlns:a16="http://schemas.microsoft.com/office/drawing/2014/main" id="{D85E9AE9-360C-4E0B-9091-A84731DF9609}"/>
            </a:ext>
          </a:extLst>
        </xdr:cNvPr>
        <xdr:cNvSpPr txBox="1"/>
      </xdr:nvSpPr>
      <xdr:spPr>
        <a:xfrm>
          <a:off x="7647214" y="3129643"/>
          <a:ext cx="1796143" cy="36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cs typeface="Times New Roman" panose="02020603050405020304" pitchFamily="18" charset="0"/>
            </a:rPr>
            <a:t>REVENUE</a:t>
          </a:r>
          <a:r>
            <a:rPr lang="en-US" sz="1200" b="1" baseline="0">
              <a:solidFill>
                <a:schemeClr val="bg1"/>
              </a:solidFill>
              <a:latin typeface="Times New Roman" panose="02020603050405020304" pitchFamily="18" charset="0"/>
              <a:cs typeface="Times New Roman" panose="02020603050405020304" pitchFamily="18" charset="0"/>
            </a:rPr>
            <a:t> BY YEAR</a:t>
          </a:r>
        </a:p>
        <a:p>
          <a:pPr algn="ctr"/>
          <a:endParaRPr lang="en-US" sz="1200" b="1"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13607</xdr:colOff>
      <xdr:row>14</xdr:row>
      <xdr:rowOff>122465</xdr:rowOff>
    </xdr:from>
    <xdr:to>
      <xdr:col>22</xdr:col>
      <xdr:colOff>299357</xdr:colOff>
      <xdr:row>16</xdr:row>
      <xdr:rowOff>103756</xdr:rowOff>
    </xdr:to>
    <xdr:sp macro="" textlink="">
      <xdr:nvSpPr>
        <xdr:cNvPr id="45" name="TextBox 44">
          <a:extLst>
            <a:ext uri="{FF2B5EF4-FFF2-40B4-BE49-F238E27FC236}">
              <a16:creationId xmlns:a16="http://schemas.microsoft.com/office/drawing/2014/main" id="{AB4EF23F-89A8-4226-A925-F6E51F5BA5D9}"/>
            </a:ext>
          </a:extLst>
        </xdr:cNvPr>
        <xdr:cNvSpPr txBox="1"/>
      </xdr:nvSpPr>
      <xdr:spPr>
        <a:xfrm>
          <a:off x="11089821" y="2789465"/>
          <a:ext cx="2735036" cy="362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cs typeface="Times New Roman" panose="02020603050405020304" pitchFamily="18" charset="0"/>
            </a:rPr>
            <a:t>REVENUE</a:t>
          </a:r>
          <a:r>
            <a:rPr lang="en-US" sz="1200" b="1" baseline="0">
              <a:solidFill>
                <a:schemeClr val="bg1"/>
              </a:solidFill>
              <a:latin typeface="Times New Roman" panose="02020603050405020304" pitchFamily="18" charset="0"/>
              <a:cs typeface="Times New Roman" panose="02020603050405020304" pitchFamily="18" charset="0"/>
            </a:rPr>
            <a:t> BY REFERAL SOURCES</a:t>
          </a:r>
        </a:p>
        <a:p>
          <a:pPr algn="ctr"/>
          <a:endParaRPr lang="en-US" sz="1200" b="1" baseline="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tie" refreshedDate="46292.030476388885" createdVersion="8" refreshedVersion="8" minRefreshableVersion="3" recordCount="1200" xr:uid="{FC84C147-EB23-4CD4-BDE0-218C56B3CF81}">
  <cacheSource type="worksheet">
    <worksheetSource name="Sheet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188131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x v="0"/>
    <x v="0"/>
    <n v="2853.1"/>
  </r>
  <r>
    <x v="1"/>
    <x v="1"/>
    <x v="1"/>
    <x v="1"/>
    <n v="2"/>
    <n v="151.35"/>
    <s v="823 Main St"/>
    <x v="1"/>
    <x v="0"/>
    <s v="TRK91186779"/>
    <n v="3"/>
    <x v="0"/>
    <x v="1"/>
    <n v="302.7"/>
  </r>
  <r>
    <x v="2"/>
    <x v="2"/>
    <x v="2"/>
    <x v="2"/>
    <n v="5"/>
    <n v="550.67999999999995"/>
    <s v="512 Main St"/>
    <x v="2"/>
    <x v="1"/>
    <s v="TRK42903982"/>
    <n v="8"/>
    <x v="1"/>
    <x v="2"/>
    <n v="2753.4"/>
  </r>
  <r>
    <x v="3"/>
    <x v="3"/>
    <x v="3"/>
    <x v="3"/>
    <n v="1"/>
    <n v="273.19"/>
    <s v="275 Main St"/>
    <x v="0"/>
    <x v="2"/>
    <s v="TRK62788070"/>
    <n v="5"/>
    <x v="0"/>
    <x v="3"/>
    <n v="273.19"/>
  </r>
  <r>
    <x v="4"/>
    <x v="4"/>
    <x v="4"/>
    <x v="4"/>
    <n v="4"/>
    <n v="626.01"/>
    <s v="668 Main St"/>
    <x v="1"/>
    <x v="3"/>
    <s v="TRK29241424"/>
    <n v="8"/>
    <x v="0"/>
    <x v="2"/>
    <n v="2504.04"/>
  </r>
  <r>
    <x v="5"/>
    <x v="5"/>
    <x v="5"/>
    <x v="1"/>
    <n v="2"/>
    <n v="245.86"/>
    <s v="934 Main St"/>
    <x v="2"/>
    <x v="0"/>
    <s v="TRK72976927"/>
    <n v="4"/>
    <x v="0"/>
    <x v="0"/>
    <n v="491.72"/>
  </r>
  <r>
    <x v="6"/>
    <x v="6"/>
    <x v="6"/>
    <x v="5"/>
    <n v="1"/>
    <n v="664.42"/>
    <s v="986 Main St"/>
    <x v="3"/>
    <x v="2"/>
    <s v="TRK96417362"/>
    <n v="6"/>
    <x v="0"/>
    <x v="3"/>
    <n v="664.42"/>
  </r>
  <r>
    <x v="7"/>
    <x v="7"/>
    <x v="7"/>
    <x v="0"/>
    <n v="5"/>
    <n v="149.55000000000001"/>
    <s v="706 Main St"/>
    <x v="4"/>
    <x v="0"/>
    <s v="TRK78809193"/>
    <n v="9"/>
    <x v="1"/>
    <x v="3"/>
    <n v="747.75"/>
  </r>
  <r>
    <x v="8"/>
    <x v="8"/>
    <x v="8"/>
    <x v="1"/>
    <n v="2"/>
    <n v="134.28"/>
    <s v="904 Main St"/>
    <x v="3"/>
    <x v="1"/>
    <s v="TRK61042692"/>
    <n v="2"/>
    <x v="2"/>
    <x v="2"/>
    <n v="268.56"/>
  </r>
  <r>
    <x v="9"/>
    <x v="9"/>
    <x v="9"/>
    <x v="6"/>
    <n v="4"/>
    <n v="509.38"/>
    <s v="102 Main St"/>
    <x v="2"/>
    <x v="0"/>
    <s v="TRK33478363"/>
    <n v="6"/>
    <x v="0"/>
    <x v="4"/>
    <n v="2037.52"/>
  </r>
  <r>
    <x v="10"/>
    <x v="10"/>
    <x v="10"/>
    <x v="2"/>
    <n v="5"/>
    <n v="625.97"/>
    <s v="333 Main St"/>
    <x v="2"/>
    <x v="2"/>
    <s v="TRK98859248"/>
    <n v="9"/>
    <x v="3"/>
    <x v="0"/>
    <n v="3129.85"/>
  </r>
  <r>
    <x v="11"/>
    <x v="11"/>
    <x v="11"/>
    <x v="0"/>
    <n v="3"/>
    <n v="49.14"/>
    <s v="831 Main St"/>
    <x v="1"/>
    <x v="2"/>
    <s v="TRK48234646"/>
    <n v="7"/>
    <x v="0"/>
    <x v="2"/>
    <n v="147.41999999999999"/>
  </r>
  <r>
    <x v="12"/>
    <x v="12"/>
    <x v="12"/>
    <x v="0"/>
    <n v="2"/>
    <n v="180.5"/>
    <s v="179 Main St"/>
    <x v="0"/>
    <x v="4"/>
    <s v="TRK20419991"/>
    <n v="6"/>
    <x v="1"/>
    <x v="1"/>
    <n v="361"/>
  </r>
  <r>
    <x v="13"/>
    <x v="13"/>
    <x v="13"/>
    <x v="5"/>
    <n v="3"/>
    <n v="201.49"/>
    <s v="903 Main St"/>
    <x v="2"/>
    <x v="2"/>
    <s v="TRK81913874"/>
    <n v="4"/>
    <x v="1"/>
    <x v="3"/>
    <n v="604.47"/>
  </r>
  <r>
    <x v="14"/>
    <x v="14"/>
    <x v="14"/>
    <x v="2"/>
    <n v="2"/>
    <n v="393.33"/>
    <s v="980 Main St"/>
    <x v="0"/>
    <x v="4"/>
    <s v="TRK79186539"/>
    <n v="3"/>
    <x v="0"/>
    <x v="0"/>
    <n v="786.66"/>
  </r>
  <r>
    <x v="15"/>
    <x v="15"/>
    <x v="15"/>
    <x v="4"/>
    <n v="1"/>
    <n v="473.96"/>
    <s v="942 Main St"/>
    <x v="4"/>
    <x v="3"/>
    <s v="TRK54930938"/>
    <n v="3"/>
    <x v="2"/>
    <x v="4"/>
    <n v="473.96"/>
  </r>
  <r>
    <x v="16"/>
    <x v="16"/>
    <x v="16"/>
    <x v="4"/>
    <n v="2"/>
    <n v="533.80999999999995"/>
    <s v="914 Main St"/>
    <x v="2"/>
    <x v="4"/>
    <s v="TRK13194259"/>
    <n v="3"/>
    <x v="1"/>
    <x v="2"/>
    <n v="1067.6199999999999"/>
  </r>
  <r>
    <x v="17"/>
    <x v="17"/>
    <x v="17"/>
    <x v="2"/>
    <n v="1"/>
    <n v="423.4"/>
    <s v="382 Main St"/>
    <x v="0"/>
    <x v="0"/>
    <s v="TRK11972116"/>
    <n v="3"/>
    <x v="2"/>
    <x v="1"/>
    <n v="423.4"/>
  </r>
  <r>
    <x v="18"/>
    <x v="18"/>
    <x v="18"/>
    <x v="6"/>
    <n v="1"/>
    <n v="431.44"/>
    <s v="891 Main St"/>
    <x v="3"/>
    <x v="4"/>
    <s v="TRK65191045"/>
    <n v="3"/>
    <x v="0"/>
    <x v="3"/>
    <n v="431.44"/>
  </r>
  <r>
    <x v="19"/>
    <x v="19"/>
    <x v="19"/>
    <x v="0"/>
    <n v="5"/>
    <n v="224"/>
    <s v="273 Main St"/>
    <x v="4"/>
    <x v="2"/>
    <s v="TRK59101365"/>
    <n v="9"/>
    <x v="0"/>
    <x v="4"/>
    <n v="1120"/>
  </r>
  <r>
    <x v="20"/>
    <x v="20"/>
    <x v="20"/>
    <x v="3"/>
    <n v="5"/>
    <n v="62.51"/>
    <s v="587 Main St"/>
    <x v="4"/>
    <x v="4"/>
    <s v="TRK16718651"/>
    <n v="9"/>
    <x v="3"/>
    <x v="0"/>
    <n v="312.55"/>
  </r>
  <r>
    <x v="21"/>
    <x v="21"/>
    <x v="21"/>
    <x v="0"/>
    <n v="4"/>
    <n v="342.95"/>
    <s v="569 Main St"/>
    <x v="4"/>
    <x v="3"/>
    <s v="TRK52646983"/>
    <n v="6"/>
    <x v="2"/>
    <x v="4"/>
    <n v="1371.8"/>
  </r>
  <r>
    <x v="22"/>
    <x v="22"/>
    <x v="22"/>
    <x v="0"/>
    <n v="2"/>
    <n v="49.62"/>
    <s v="633 Main St"/>
    <x v="1"/>
    <x v="4"/>
    <s v="TRK75937350"/>
    <n v="2"/>
    <x v="0"/>
    <x v="4"/>
    <n v="99.24"/>
  </r>
  <r>
    <x v="23"/>
    <x v="23"/>
    <x v="23"/>
    <x v="1"/>
    <n v="4"/>
    <n v="273.25"/>
    <s v="755 Main St"/>
    <x v="0"/>
    <x v="1"/>
    <s v="TRK36168083"/>
    <n v="5"/>
    <x v="1"/>
    <x v="1"/>
    <n v="1093"/>
  </r>
  <r>
    <x v="24"/>
    <x v="24"/>
    <x v="24"/>
    <x v="5"/>
    <n v="2"/>
    <n v="230.95"/>
    <s v="956 Main St"/>
    <x v="1"/>
    <x v="3"/>
    <s v="TRK28775057"/>
    <n v="3"/>
    <x v="3"/>
    <x v="1"/>
    <n v="461.9"/>
  </r>
  <r>
    <x v="25"/>
    <x v="25"/>
    <x v="25"/>
    <x v="0"/>
    <n v="1"/>
    <n v="399.98"/>
    <s v="709 Main St"/>
    <x v="0"/>
    <x v="3"/>
    <s v="TRK69423327"/>
    <n v="3"/>
    <x v="3"/>
    <x v="2"/>
    <n v="399.98"/>
  </r>
  <r>
    <x v="26"/>
    <x v="26"/>
    <x v="26"/>
    <x v="5"/>
    <n v="5"/>
    <n v="59.55"/>
    <s v="296 Main St"/>
    <x v="1"/>
    <x v="3"/>
    <s v="TRK80276812"/>
    <n v="6"/>
    <x v="2"/>
    <x v="1"/>
    <n v="297.75"/>
  </r>
  <r>
    <x v="27"/>
    <x v="27"/>
    <x v="27"/>
    <x v="4"/>
    <n v="1"/>
    <n v="472.74"/>
    <s v="881 Main St"/>
    <x v="1"/>
    <x v="0"/>
    <s v="TRK89117573"/>
    <n v="6"/>
    <x v="3"/>
    <x v="4"/>
    <n v="472.74"/>
  </r>
  <r>
    <x v="28"/>
    <x v="9"/>
    <x v="28"/>
    <x v="1"/>
    <n v="4"/>
    <n v="160.07"/>
    <s v="568 Main St"/>
    <x v="1"/>
    <x v="4"/>
    <s v="TRK65895539"/>
    <n v="5"/>
    <x v="2"/>
    <x v="2"/>
    <n v="640.28"/>
  </r>
  <r>
    <x v="29"/>
    <x v="28"/>
    <x v="29"/>
    <x v="6"/>
    <n v="3"/>
    <n v="423.53"/>
    <s v="930 Main St"/>
    <x v="2"/>
    <x v="3"/>
    <s v="TRK59744090"/>
    <n v="6"/>
    <x v="0"/>
    <x v="1"/>
    <n v="1270.5899999999999"/>
  </r>
  <r>
    <x v="30"/>
    <x v="29"/>
    <x v="30"/>
    <x v="0"/>
    <n v="2"/>
    <n v="426.7"/>
    <s v="895 Main St"/>
    <x v="1"/>
    <x v="4"/>
    <s v="TRK54751444"/>
    <n v="5"/>
    <x v="0"/>
    <x v="1"/>
    <n v="853.4"/>
  </r>
  <r>
    <x v="31"/>
    <x v="30"/>
    <x v="31"/>
    <x v="3"/>
    <n v="3"/>
    <n v="500.08"/>
    <s v="996 Main St"/>
    <x v="0"/>
    <x v="2"/>
    <s v="TRK31229981"/>
    <n v="6"/>
    <x v="2"/>
    <x v="3"/>
    <n v="1500.24"/>
  </r>
  <r>
    <x v="32"/>
    <x v="31"/>
    <x v="32"/>
    <x v="2"/>
    <n v="5"/>
    <n v="536.72"/>
    <s v="830 Main St"/>
    <x v="4"/>
    <x v="3"/>
    <s v="TRK99261395"/>
    <n v="10"/>
    <x v="2"/>
    <x v="2"/>
    <n v="2683.6"/>
  </r>
  <r>
    <x v="33"/>
    <x v="32"/>
    <x v="33"/>
    <x v="3"/>
    <n v="1"/>
    <n v="162.77000000000001"/>
    <s v="912 Main St"/>
    <x v="1"/>
    <x v="1"/>
    <s v="TRK73312471"/>
    <n v="4"/>
    <x v="3"/>
    <x v="3"/>
    <n v="162.77000000000001"/>
  </r>
  <r>
    <x v="34"/>
    <x v="33"/>
    <x v="34"/>
    <x v="3"/>
    <n v="4"/>
    <n v="576.52"/>
    <s v="926 Main St"/>
    <x v="2"/>
    <x v="4"/>
    <s v="TRK55467915"/>
    <n v="5"/>
    <x v="3"/>
    <x v="3"/>
    <n v="2306.08"/>
  </r>
  <r>
    <x v="35"/>
    <x v="34"/>
    <x v="35"/>
    <x v="0"/>
    <n v="2"/>
    <n v="465.15"/>
    <s v="128 Main St"/>
    <x v="1"/>
    <x v="0"/>
    <s v="TRK46850888"/>
    <n v="2"/>
    <x v="0"/>
    <x v="3"/>
    <n v="930.3"/>
  </r>
  <r>
    <x v="36"/>
    <x v="4"/>
    <x v="36"/>
    <x v="5"/>
    <n v="2"/>
    <n v="534.42999999999995"/>
    <s v="465 Main St"/>
    <x v="0"/>
    <x v="4"/>
    <s v="TRK50961250"/>
    <n v="5"/>
    <x v="2"/>
    <x v="3"/>
    <n v="1068.8599999999999"/>
  </r>
  <r>
    <x v="37"/>
    <x v="35"/>
    <x v="37"/>
    <x v="5"/>
    <n v="2"/>
    <n v="76.739999999999995"/>
    <s v="409 Main St"/>
    <x v="4"/>
    <x v="2"/>
    <s v="TRK94005261"/>
    <n v="7"/>
    <x v="0"/>
    <x v="0"/>
    <n v="153.47999999999999"/>
  </r>
  <r>
    <x v="38"/>
    <x v="36"/>
    <x v="38"/>
    <x v="5"/>
    <n v="1"/>
    <n v="245.89"/>
    <s v="549 Main St"/>
    <x v="0"/>
    <x v="3"/>
    <s v="TRK14835975"/>
    <n v="3"/>
    <x v="0"/>
    <x v="4"/>
    <n v="245.89"/>
  </r>
  <r>
    <x v="39"/>
    <x v="37"/>
    <x v="39"/>
    <x v="4"/>
    <n v="3"/>
    <n v="256.45999999999998"/>
    <s v="666 Main St"/>
    <x v="2"/>
    <x v="3"/>
    <s v="TRK85508960"/>
    <n v="4"/>
    <x v="0"/>
    <x v="1"/>
    <n v="769.37999999999988"/>
  </r>
  <r>
    <x v="40"/>
    <x v="38"/>
    <x v="40"/>
    <x v="6"/>
    <n v="2"/>
    <n v="344.02"/>
    <s v="267 Main St"/>
    <x v="1"/>
    <x v="3"/>
    <s v="TRK78967923"/>
    <n v="4"/>
    <x v="1"/>
    <x v="0"/>
    <n v="688.04"/>
  </r>
  <r>
    <x v="41"/>
    <x v="39"/>
    <x v="41"/>
    <x v="0"/>
    <n v="3"/>
    <n v="611.45000000000005"/>
    <s v="657 Main St"/>
    <x v="3"/>
    <x v="4"/>
    <s v="TRK69733327"/>
    <n v="4"/>
    <x v="1"/>
    <x v="0"/>
    <n v="1834.35"/>
  </r>
  <r>
    <x v="42"/>
    <x v="40"/>
    <x v="42"/>
    <x v="4"/>
    <n v="2"/>
    <n v="151.66"/>
    <s v="980 Main St"/>
    <x v="4"/>
    <x v="1"/>
    <s v="TRK40772558"/>
    <n v="6"/>
    <x v="2"/>
    <x v="0"/>
    <n v="303.32"/>
  </r>
  <r>
    <x v="43"/>
    <x v="41"/>
    <x v="43"/>
    <x v="3"/>
    <n v="3"/>
    <n v="499.21"/>
    <s v="871 Main St"/>
    <x v="1"/>
    <x v="1"/>
    <s v="TRK20351666"/>
    <n v="8"/>
    <x v="2"/>
    <x v="0"/>
    <n v="1497.63"/>
  </r>
  <r>
    <x v="44"/>
    <x v="42"/>
    <x v="44"/>
    <x v="1"/>
    <n v="2"/>
    <n v="550.17999999999995"/>
    <s v="996 Main St"/>
    <x v="3"/>
    <x v="2"/>
    <s v="TRK73848522"/>
    <n v="3"/>
    <x v="1"/>
    <x v="1"/>
    <n v="1100.3599999999999"/>
  </r>
  <r>
    <x v="45"/>
    <x v="43"/>
    <x v="45"/>
    <x v="3"/>
    <n v="1"/>
    <n v="317.25"/>
    <s v="157 Main St"/>
    <x v="0"/>
    <x v="2"/>
    <s v="TRK47077395"/>
    <n v="1"/>
    <x v="0"/>
    <x v="3"/>
    <n v="317.25"/>
  </r>
  <r>
    <x v="46"/>
    <x v="44"/>
    <x v="46"/>
    <x v="0"/>
    <n v="4"/>
    <n v="550.14"/>
    <s v="223 Main St"/>
    <x v="0"/>
    <x v="4"/>
    <s v="TRK25100762"/>
    <n v="4"/>
    <x v="1"/>
    <x v="0"/>
    <n v="2200.56"/>
  </r>
  <r>
    <x v="47"/>
    <x v="45"/>
    <x v="47"/>
    <x v="6"/>
    <n v="2"/>
    <n v="209.94"/>
    <s v="323 Main St"/>
    <x v="2"/>
    <x v="2"/>
    <s v="TRK42450754"/>
    <n v="3"/>
    <x v="1"/>
    <x v="2"/>
    <n v="419.88"/>
  </r>
  <r>
    <x v="48"/>
    <x v="46"/>
    <x v="48"/>
    <x v="0"/>
    <n v="2"/>
    <n v="80.77"/>
    <s v="464 Main St"/>
    <x v="0"/>
    <x v="0"/>
    <s v="TRK38938858"/>
    <n v="4"/>
    <x v="2"/>
    <x v="4"/>
    <n v="161.54"/>
  </r>
  <r>
    <x v="49"/>
    <x v="47"/>
    <x v="49"/>
    <x v="4"/>
    <n v="1"/>
    <n v="30.44"/>
    <s v="633 Main St"/>
    <x v="2"/>
    <x v="0"/>
    <s v="TRK53272402"/>
    <n v="1"/>
    <x v="0"/>
    <x v="2"/>
    <n v="30.44"/>
  </r>
  <r>
    <x v="50"/>
    <x v="48"/>
    <x v="50"/>
    <x v="2"/>
    <n v="1"/>
    <n v="179.22"/>
    <s v="446 Main St"/>
    <x v="1"/>
    <x v="1"/>
    <s v="TRK14675049"/>
    <n v="6"/>
    <x v="1"/>
    <x v="0"/>
    <n v="179.22"/>
  </r>
  <r>
    <x v="51"/>
    <x v="49"/>
    <x v="51"/>
    <x v="2"/>
    <n v="1"/>
    <n v="388.33"/>
    <s v="434 Main St"/>
    <x v="4"/>
    <x v="2"/>
    <s v="TRK67610289"/>
    <n v="2"/>
    <x v="0"/>
    <x v="3"/>
    <n v="388.33"/>
  </r>
  <r>
    <x v="52"/>
    <x v="50"/>
    <x v="52"/>
    <x v="2"/>
    <n v="1"/>
    <n v="586.44000000000005"/>
    <s v="232 Main St"/>
    <x v="1"/>
    <x v="2"/>
    <s v="TRK64320429"/>
    <n v="5"/>
    <x v="0"/>
    <x v="3"/>
    <n v="586.44000000000005"/>
  </r>
  <r>
    <x v="53"/>
    <x v="51"/>
    <x v="53"/>
    <x v="1"/>
    <n v="4"/>
    <n v="488.78"/>
    <s v="512 Main St"/>
    <x v="1"/>
    <x v="2"/>
    <s v="TRK94992552"/>
    <n v="5"/>
    <x v="1"/>
    <x v="4"/>
    <n v="1955.12"/>
  </r>
  <r>
    <x v="54"/>
    <x v="52"/>
    <x v="54"/>
    <x v="3"/>
    <n v="1"/>
    <n v="280.25"/>
    <s v="623 Main St"/>
    <x v="1"/>
    <x v="4"/>
    <s v="TRK11014449"/>
    <n v="5"/>
    <x v="3"/>
    <x v="2"/>
    <n v="280.25"/>
  </r>
  <r>
    <x v="55"/>
    <x v="53"/>
    <x v="55"/>
    <x v="4"/>
    <n v="3"/>
    <n v="344.4"/>
    <s v="565 Main St"/>
    <x v="1"/>
    <x v="1"/>
    <s v="TRK67434829"/>
    <n v="3"/>
    <x v="2"/>
    <x v="3"/>
    <n v="1033.2"/>
  </r>
  <r>
    <x v="56"/>
    <x v="54"/>
    <x v="56"/>
    <x v="2"/>
    <n v="3"/>
    <n v="479.21"/>
    <s v="566 Main St"/>
    <x v="4"/>
    <x v="1"/>
    <s v="TRK62902341"/>
    <n v="5"/>
    <x v="3"/>
    <x v="1"/>
    <n v="1437.63"/>
  </r>
  <r>
    <x v="57"/>
    <x v="55"/>
    <x v="57"/>
    <x v="4"/>
    <n v="5"/>
    <n v="314.27"/>
    <s v="842 Main St"/>
    <x v="4"/>
    <x v="2"/>
    <s v="TRK52470128"/>
    <n v="6"/>
    <x v="0"/>
    <x v="0"/>
    <n v="1571.35"/>
  </r>
  <r>
    <x v="58"/>
    <x v="56"/>
    <x v="58"/>
    <x v="1"/>
    <n v="4"/>
    <n v="474.69"/>
    <s v="202 Main St"/>
    <x v="3"/>
    <x v="1"/>
    <s v="TRK70857868"/>
    <n v="6"/>
    <x v="0"/>
    <x v="4"/>
    <n v="1898.76"/>
  </r>
  <r>
    <x v="59"/>
    <x v="57"/>
    <x v="59"/>
    <x v="3"/>
    <n v="4"/>
    <n v="593.27"/>
    <s v="811 Main St"/>
    <x v="1"/>
    <x v="0"/>
    <s v="TRK47055028"/>
    <n v="5"/>
    <x v="2"/>
    <x v="3"/>
    <n v="2373.08"/>
  </r>
  <r>
    <x v="60"/>
    <x v="58"/>
    <x v="60"/>
    <x v="6"/>
    <n v="1"/>
    <n v="417.1"/>
    <s v="634 Main St"/>
    <x v="0"/>
    <x v="2"/>
    <s v="TRK23412025"/>
    <n v="3"/>
    <x v="1"/>
    <x v="1"/>
    <n v="417.1"/>
  </r>
  <r>
    <x v="61"/>
    <x v="59"/>
    <x v="61"/>
    <x v="6"/>
    <n v="4"/>
    <n v="122.2"/>
    <s v="104 Main St"/>
    <x v="4"/>
    <x v="3"/>
    <s v="TRK43458485"/>
    <n v="7"/>
    <x v="1"/>
    <x v="3"/>
    <n v="488.8"/>
  </r>
  <r>
    <x v="62"/>
    <x v="60"/>
    <x v="62"/>
    <x v="6"/>
    <n v="2"/>
    <n v="43.15"/>
    <s v="691 Main St"/>
    <x v="0"/>
    <x v="4"/>
    <s v="TRK12102911"/>
    <n v="3"/>
    <x v="3"/>
    <x v="2"/>
    <n v="86.3"/>
  </r>
  <r>
    <x v="63"/>
    <x v="61"/>
    <x v="63"/>
    <x v="3"/>
    <n v="1"/>
    <n v="564.86"/>
    <s v="813 Main St"/>
    <x v="0"/>
    <x v="0"/>
    <s v="TRK64283851"/>
    <n v="6"/>
    <x v="3"/>
    <x v="1"/>
    <n v="564.86"/>
  </r>
  <r>
    <x v="64"/>
    <x v="62"/>
    <x v="64"/>
    <x v="4"/>
    <n v="3"/>
    <n v="130.61000000000001"/>
    <s v="752 Main St"/>
    <x v="0"/>
    <x v="1"/>
    <s v="TRK55785217"/>
    <n v="4"/>
    <x v="1"/>
    <x v="3"/>
    <n v="391.83"/>
  </r>
  <r>
    <x v="65"/>
    <x v="63"/>
    <x v="65"/>
    <x v="0"/>
    <n v="5"/>
    <n v="81.7"/>
    <s v="385 Main St"/>
    <x v="2"/>
    <x v="3"/>
    <s v="TRK13743703"/>
    <n v="6"/>
    <x v="2"/>
    <x v="0"/>
    <n v="408.5"/>
  </r>
  <r>
    <x v="66"/>
    <x v="64"/>
    <x v="66"/>
    <x v="3"/>
    <n v="5"/>
    <n v="127.18"/>
    <s v="715 Main St"/>
    <x v="4"/>
    <x v="1"/>
    <s v="TRK15488568"/>
    <n v="9"/>
    <x v="0"/>
    <x v="1"/>
    <n v="635.90000000000009"/>
  </r>
  <r>
    <x v="67"/>
    <x v="65"/>
    <x v="67"/>
    <x v="4"/>
    <n v="4"/>
    <n v="12.1"/>
    <s v="440 Main St"/>
    <x v="0"/>
    <x v="1"/>
    <s v="TRK55105323"/>
    <n v="8"/>
    <x v="2"/>
    <x v="4"/>
    <n v="48.4"/>
  </r>
  <r>
    <x v="68"/>
    <x v="66"/>
    <x v="68"/>
    <x v="3"/>
    <n v="3"/>
    <n v="490.92"/>
    <s v="709 Main St"/>
    <x v="2"/>
    <x v="4"/>
    <s v="TRK81665940"/>
    <n v="5"/>
    <x v="1"/>
    <x v="2"/>
    <n v="1472.76"/>
  </r>
  <r>
    <x v="69"/>
    <x v="67"/>
    <x v="69"/>
    <x v="0"/>
    <n v="3"/>
    <n v="478.65"/>
    <s v="552 Main St"/>
    <x v="1"/>
    <x v="0"/>
    <s v="TRK35241775"/>
    <n v="4"/>
    <x v="2"/>
    <x v="1"/>
    <n v="1435.95"/>
  </r>
  <r>
    <x v="70"/>
    <x v="68"/>
    <x v="70"/>
    <x v="6"/>
    <n v="1"/>
    <n v="629.21"/>
    <s v="384 Main St"/>
    <x v="3"/>
    <x v="4"/>
    <s v="TRK27812282"/>
    <n v="2"/>
    <x v="1"/>
    <x v="0"/>
    <n v="629.21"/>
  </r>
  <r>
    <x v="71"/>
    <x v="69"/>
    <x v="71"/>
    <x v="0"/>
    <n v="3"/>
    <n v="434.45"/>
    <s v="923 Main St"/>
    <x v="2"/>
    <x v="4"/>
    <s v="TRK28252730"/>
    <n v="4"/>
    <x v="2"/>
    <x v="1"/>
    <n v="1303.3499999999999"/>
  </r>
  <r>
    <x v="72"/>
    <x v="70"/>
    <x v="72"/>
    <x v="2"/>
    <n v="4"/>
    <n v="589.44000000000005"/>
    <s v="942 Main St"/>
    <x v="3"/>
    <x v="2"/>
    <s v="TRK87787793"/>
    <n v="5"/>
    <x v="2"/>
    <x v="3"/>
    <n v="2357.7600000000002"/>
  </r>
  <r>
    <x v="73"/>
    <x v="71"/>
    <x v="73"/>
    <x v="0"/>
    <n v="4"/>
    <n v="433.45"/>
    <s v="129 Main St"/>
    <x v="3"/>
    <x v="1"/>
    <s v="TRK79608389"/>
    <n v="4"/>
    <x v="2"/>
    <x v="3"/>
    <n v="1733.8"/>
  </r>
  <r>
    <x v="74"/>
    <x v="72"/>
    <x v="74"/>
    <x v="1"/>
    <n v="5"/>
    <n v="90.87"/>
    <s v="622 Main St"/>
    <x v="4"/>
    <x v="4"/>
    <s v="TRK64691287"/>
    <n v="5"/>
    <x v="2"/>
    <x v="0"/>
    <n v="454.35"/>
  </r>
  <r>
    <x v="75"/>
    <x v="73"/>
    <x v="75"/>
    <x v="2"/>
    <n v="3"/>
    <n v="398.17"/>
    <s v="917 Main St"/>
    <x v="0"/>
    <x v="3"/>
    <s v="TRK14846720"/>
    <n v="5"/>
    <x v="0"/>
    <x v="2"/>
    <n v="1194.51"/>
  </r>
  <r>
    <x v="76"/>
    <x v="74"/>
    <x v="76"/>
    <x v="5"/>
    <n v="4"/>
    <n v="382.88"/>
    <s v="239 Main St"/>
    <x v="4"/>
    <x v="1"/>
    <s v="TRK38224871"/>
    <n v="6"/>
    <x v="3"/>
    <x v="2"/>
    <n v="1531.52"/>
  </r>
  <r>
    <x v="77"/>
    <x v="75"/>
    <x v="77"/>
    <x v="1"/>
    <n v="1"/>
    <n v="583.17999999999995"/>
    <s v="348 Main St"/>
    <x v="2"/>
    <x v="2"/>
    <s v="TRK79810059"/>
    <n v="5"/>
    <x v="2"/>
    <x v="4"/>
    <n v="583.17999999999995"/>
  </r>
  <r>
    <x v="78"/>
    <x v="76"/>
    <x v="78"/>
    <x v="4"/>
    <n v="4"/>
    <n v="175.36"/>
    <s v="146 Main St"/>
    <x v="0"/>
    <x v="3"/>
    <s v="TRK68535532"/>
    <n v="4"/>
    <x v="1"/>
    <x v="0"/>
    <n v="701.44"/>
  </r>
  <r>
    <x v="79"/>
    <x v="77"/>
    <x v="79"/>
    <x v="2"/>
    <n v="2"/>
    <n v="311.91000000000003"/>
    <s v="103 Main St"/>
    <x v="1"/>
    <x v="0"/>
    <s v="TRK13036341"/>
    <n v="2"/>
    <x v="2"/>
    <x v="3"/>
    <n v="623.82000000000005"/>
  </r>
  <r>
    <x v="80"/>
    <x v="78"/>
    <x v="80"/>
    <x v="1"/>
    <n v="3"/>
    <n v="589.55999999999995"/>
    <s v="591 Main St"/>
    <x v="1"/>
    <x v="2"/>
    <s v="TRK28840655"/>
    <n v="6"/>
    <x v="2"/>
    <x v="3"/>
    <n v="1768.68"/>
  </r>
  <r>
    <x v="81"/>
    <x v="79"/>
    <x v="81"/>
    <x v="0"/>
    <n v="2"/>
    <n v="394.3"/>
    <s v="496 Main St"/>
    <x v="4"/>
    <x v="0"/>
    <s v="TRK59876213"/>
    <n v="6"/>
    <x v="1"/>
    <x v="2"/>
    <n v="788.6"/>
  </r>
  <r>
    <x v="82"/>
    <x v="80"/>
    <x v="82"/>
    <x v="2"/>
    <n v="4"/>
    <n v="565.20000000000005"/>
    <s v="971 Main St"/>
    <x v="0"/>
    <x v="0"/>
    <s v="TRK66906607"/>
    <n v="9"/>
    <x v="0"/>
    <x v="4"/>
    <n v="2260.8000000000002"/>
  </r>
  <r>
    <x v="83"/>
    <x v="60"/>
    <x v="83"/>
    <x v="5"/>
    <n v="4"/>
    <n v="540.41"/>
    <s v="989 Main St"/>
    <x v="2"/>
    <x v="1"/>
    <s v="TRK75112172"/>
    <n v="6"/>
    <x v="2"/>
    <x v="1"/>
    <n v="2161.64"/>
  </r>
  <r>
    <x v="84"/>
    <x v="81"/>
    <x v="84"/>
    <x v="0"/>
    <n v="2"/>
    <n v="165.49"/>
    <s v="967 Main St"/>
    <x v="1"/>
    <x v="0"/>
    <s v="TRK34121529"/>
    <n v="4"/>
    <x v="3"/>
    <x v="0"/>
    <n v="330.98"/>
  </r>
  <r>
    <x v="85"/>
    <x v="82"/>
    <x v="85"/>
    <x v="2"/>
    <n v="3"/>
    <n v="146.72999999999999"/>
    <s v="768 Main St"/>
    <x v="4"/>
    <x v="3"/>
    <s v="TRK93538334"/>
    <n v="8"/>
    <x v="1"/>
    <x v="2"/>
    <n v="440.18999999999988"/>
  </r>
  <r>
    <x v="86"/>
    <x v="83"/>
    <x v="86"/>
    <x v="4"/>
    <n v="5"/>
    <n v="643.03"/>
    <s v="447 Main St"/>
    <x v="1"/>
    <x v="1"/>
    <s v="TRK93504166"/>
    <n v="5"/>
    <x v="1"/>
    <x v="1"/>
    <n v="3215.15"/>
  </r>
  <r>
    <x v="87"/>
    <x v="84"/>
    <x v="87"/>
    <x v="2"/>
    <n v="3"/>
    <n v="225.11"/>
    <s v="915 Main St"/>
    <x v="4"/>
    <x v="0"/>
    <s v="TRK46976391"/>
    <n v="4"/>
    <x v="0"/>
    <x v="3"/>
    <n v="675.33"/>
  </r>
  <r>
    <x v="88"/>
    <x v="85"/>
    <x v="88"/>
    <x v="6"/>
    <n v="3"/>
    <n v="114.81"/>
    <s v="318 Main St"/>
    <x v="3"/>
    <x v="1"/>
    <s v="TRK19831653"/>
    <n v="7"/>
    <x v="2"/>
    <x v="4"/>
    <n v="344.43"/>
  </r>
  <r>
    <x v="89"/>
    <x v="86"/>
    <x v="89"/>
    <x v="4"/>
    <n v="5"/>
    <n v="455.33"/>
    <s v="291 Main St"/>
    <x v="2"/>
    <x v="1"/>
    <s v="TRK78912978"/>
    <n v="8"/>
    <x v="1"/>
    <x v="4"/>
    <n v="2276.65"/>
  </r>
  <r>
    <x v="90"/>
    <x v="87"/>
    <x v="90"/>
    <x v="3"/>
    <n v="4"/>
    <n v="182.08"/>
    <s v="611 Main St"/>
    <x v="3"/>
    <x v="3"/>
    <s v="TRK35828122"/>
    <n v="4"/>
    <x v="0"/>
    <x v="2"/>
    <n v="728.32"/>
  </r>
  <r>
    <x v="91"/>
    <x v="88"/>
    <x v="91"/>
    <x v="5"/>
    <n v="5"/>
    <n v="492.75"/>
    <s v="196 Main St"/>
    <x v="4"/>
    <x v="0"/>
    <s v="TRK40986666"/>
    <n v="6"/>
    <x v="3"/>
    <x v="1"/>
    <n v="2463.75"/>
  </r>
  <r>
    <x v="92"/>
    <x v="89"/>
    <x v="92"/>
    <x v="4"/>
    <n v="4"/>
    <n v="48.61"/>
    <s v="203 Main St"/>
    <x v="1"/>
    <x v="0"/>
    <s v="TRK46531075"/>
    <n v="7"/>
    <x v="1"/>
    <x v="3"/>
    <n v="194.44"/>
  </r>
  <r>
    <x v="93"/>
    <x v="90"/>
    <x v="93"/>
    <x v="6"/>
    <n v="4"/>
    <n v="431.01"/>
    <s v="837 Main St"/>
    <x v="2"/>
    <x v="2"/>
    <s v="TRK65990229"/>
    <n v="7"/>
    <x v="2"/>
    <x v="1"/>
    <n v="1724.04"/>
  </r>
  <r>
    <x v="94"/>
    <x v="91"/>
    <x v="94"/>
    <x v="3"/>
    <n v="1"/>
    <n v="531.17999999999995"/>
    <s v="781 Main St"/>
    <x v="3"/>
    <x v="2"/>
    <s v="TRK12780193"/>
    <n v="6"/>
    <x v="3"/>
    <x v="0"/>
    <n v="531.17999999999995"/>
  </r>
  <r>
    <x v="95"/>
    <x v="92"/>
    <x v="95"/>
    <x v="4"/>
    <n v="4"/>
    <n v="117.51"/>
    <s v="839 Main St"/>
    <x v="0"/>
    <x v="2"/>
    <s v="TRK60179774"/>
    <n v="7"/>
    <x v="2"/>
    <x v="1"/>
    <n v="470.04"/>
  </r>
  <r>
    <x v="96"/>
    <x v="93"/>
    <x v="96"/>
    <x v="1"/>
    <n v="2"/>
    <n v="232.83"/>
    <s v="103 Main St"/>
    <x v="3"/>
    <x v="3"/>
    <s v="TRK85696091"/>
    <n v="7"/>
    <x v="2"/>
    <x v="0"/>
    <n v="465.66"/>
  </r>
  <r>
    <x v="97"/>
    <x v="94"/>
    <x v="97"/>
    <x v="2"/>
    <n v="5"/>
    <n v="619.52"/>
    <s v="922 Main St"/>
    <x v="0"/>
    <x v="4"/>
    <s v="TRK40621141"/>
    <n v="9"/>
    <x v="2"/>
    <x v="2"/>
    <n v="3097.6"/>
  </r>
  <r>
    <x v="98"/>
    <x v="90"/>
    <x v="98"/>
    <x v="4"/>
    <n v="2"/>
    <n v="228.54"/>
    <s v="533 Main St"/>
    <x v="0"/>
    <x v="4"/>
    <s v="TRK54983109"/>
    <n v="3"/>
    <x v="2"/>
    <x v="2"/>
    <n v="457.08"/>
  </r>
  <r>
    <x v="99"/>
    <x v="95"/>
    <x v="99"/>
    <x v="4"/>
    <n v="1"/>
    <n v="201.58"/>
    <s v="717 Main St"/>
    <x v="0"/>
    <x v="1"/>
    <s v="TRK51829648"/>
    <n v="2"/>
    <x v="3"/>
    <x v="2"/>
    <n v="201.58"/>
  </r>
  <r>
    <x v="100"/>
    <x v="96"/>
    <x v="100"/>
    <x v="1"/>
    <n v="3"/>
    <n v="664.79"/>
    <s v="743 Main St"/>
    <x v="1"/>
    <x v="3"/>
    <s v="TRK53783265"/>
    <n v="6"/>
    <x v="2"/>
    <x v="3"/>
    <n v="1994.37"/>
  </r>
  <r>
    <x v="101"/>
    <x v="97"/>
    <x v="101"/>
    <x v="4"/>
    <n v="1"/>
    <n v="381.02"/>
    <s v="152 Main St"/>
    <x v="4"/>
    <x v="0"/>
    <s v="TRK19286291"/>
    <n v="6"/>
    <x v="2"/>
    <x v="4"/>
    <n v="381.02"/>
  </r>
  <r>
    <x v="102"/>
    <x v="98"/>
    <x v="102"/>
    <x v="5"/>
    <n v="2"/>
    <n v="70.34"/>
    <s v="944 Main St"/>
    <x v="3"/>
    <x v="1"/>
    <s v="TRK47362236"/>
    <n v="3"/>
    <x v="1"/>
    <x v="2"/>
    <n v="140.68"/>
  </r>
  <r>
    <x v="103"/>
    <x v="99"/>
    <x v="103"/>
    <x v="1"/>
    <n v="4"/>
    <n v="218.43"/>
    <s v="514 Main St"/>
    <x v="2"/>
    <x v="1"/>
    <s v="TRK86296459"/>
    <n v="9"/>
    <x v="0"/>
    <x v="2"/>
    <n v="873.72"/>
  </r>
  <r>
    <x v="104"/>
    <x v="100"/>
    <x v="104"/>
    <x v="1"/>
    <n v="1"/>
    <n v="582.04"/>
    <s v="647 Main St"/>
    <x v="3"/>
    <x v="3"/>
    <s v="TRK39906058"/>
    <n v="1"/>
    <x v="1"/>
    <x v="2"/>
    <n v="582.04"/>
  </r>
  <r>
    <x v="105"/>
    <x v="101"/>
    <x v="105"/>
    <x v="4"/>
    <n v="3"/>
    <n v="185.4"/>
    <s v="810 Main St"/>
    <x v="3"/>
    <x v="1"/>
    <s v="TRK68792129"/>
    <n v="7"/>
    <x v="2"/>
    <x v="3"/>
    <n v="556.20000000000005"/>
  </r>
  <r>
    <x v="106"/>
    <x v="102"/>
    <x v="106"/>
    <x v="6"/>
    <n v="3"/>
    <n v="465.05"/>
    <s v="126 Main St"/>
    <x v="2"/>
    <x v="1"/>
    <s v="TRK96777924"/>
    <n v="3"/>
    <x v="0"/>
    <x v="2"/>
    <n v="1395.15"/>
  </r>
  <r>
    <x v="107"/>
    <x v="14"/>
    <x v="107"/>
    <x v="4"/>
    <n v="5"/>
    <n v="670.75"/>
    <s v="848 Main St"/>
    <x v="3"/>
    <x v="0"/>
    <s v="TRK34392124"/>
    <n v="8"/>
    <x v="1"/>
    <x v="0"/>
    <n v="3353.75"/>
  </r>
  <r>
    <x v="108"/>
    <x v="103"/>
    <x v="108"/>
    <x v="5"/>
    <n v="5"/>
    <n v="48.38"/>
    <s v="522 Main St"/>
    <x v="3"/>
    <x v="3"/>
    <s v="TRK28522330"/>
    <n v="9"/>
    <x v="3"/>
    <x v="2"/>
    <n v="241.9"/>
  </r>
  <r>
    <x v="109"/>
    <x v="104"/>
    <x v="109"/>
    <x v="6"/>
    <n v="3"/>
    <n v="592.87"/>
    <s v="131 Main St"/>
    <x v="3"/>
    <x v="0"/>
    <s v="TRK18674578"/>
    <n v="3"/>
    <x v="1"/>
    <x v="1"/>
    <n v="1778.61"/>
  </r>
  <r>
    <x v="110"/>
    <x v="105"/>
    <x v="110"/>
    <x v="2"/>
    <n v="1"/>
    <n v="220.77"/>
    <s v="388 Main St"/>
    <x v="3"/>
    <x v="4"/>
    <s v="TRK32062079"/>
    <n v="5"/>
    <x v="1"/>
    <x v="0"/>
    <n v="220.77"/>
  </r>
  <r>
    <x v="111"/>
    <x v="106"/>
    <x v="111"/>
    <x v="6"/>
    <n v="3"/>
    <n v="309.22000000000003"/>
    <s v="620 Main St"/>
    <x v="1"/>
    <x v="1"/>
    <s v="TRK74904969"/>
    <n v="7"/>
    <x v="1"/>
    <x v="4"/>
    <n v="927.66000000000008"/>
  </r>
  <r>
    <x v="112"/>
    <x v="107"/>
    <x v="112"/>
    <x v="0"/>
    <n v="1"/>
    <n v="410.6"/>
    <s v="423 Main St"/>
    <x v="1"/>
    <x v="1"/>
    <s v="TRK17062206"/>
    <n v="2"/>
    <x v="3"/>
    <x v="1"/>
    <n v="410.6"/>
  </r>
  <r>
    <x v="113"/>
    <x v="108"/>
    <x v="113"/>
    <x v="5"/>
    <n v="5"/>
    <n v="190.08"/>
    <s v="605 Main St"/>
    <x v="4"/>
    <x v="0"/>
    <s v="TRK73954365"/>
    <n v="9"/>
    <x v="1"/>
    <x v="0"/>
    <n v="950.40000000000009"/>
  </r>
  <r>
    <x v="114"/>
    <x v="109"/>
    <x v="114"/>
    <x v="0"/>
    <n v="5"/>
    <n v="498.48"/>
    <s v="115 Main St"/>
    <x v="1"/>
    <x v="4"/>
    <s v="TRK29708128"/>
    <n v="8"/>
    <x v="0"/>
    <x v="4"/>
    <n v="2492.4"/>
  </r>
  <r>
    <x v="115"/>
    <x v="110"/>
    <x v="115"/>
    <x v="1"/>
    <n v="5"/>
    <n v="374.99"/>
    <s v="122 Main St"/>
    <x v="1"/>
    <x v="0"/>
    <s v="TRK23670394"/>
    <n v="9"/>
    <x v="0"/>
    <x v="3"/>
    <n v="1874.95"/>
  </r>
  <r>
    <x v="116"/>
    <x v="111"/>
    <x v="116"/>
    <x v="4"/>
    <n v="4"/>
    <n v="291.35000000000002"/>
    <s v="109 Main St"/>
    <x v="2"/>
    <x v="1"/>
    <s v="TRK66669207"/>
    <n v="6"/>
    <x v="3"/>
    <x v="3"/>
    <n v="1165.4000000000001"/>
  </r>
  <r>
    <x v="117"/>
    <x v="98"/>
    <x v="117"/>
    <x v="2"/>
    <n v="1"/>
    <n v="535.5"/>
    <s v="593 Main St"/>
    <x v="3"/>
    <x v="1"/>
    <s v="TRK81888598"/>
    <n v="5"/>
    <x v="3"/>
    <x v="1"/>
    <n v="535.5"/>
  </r>
  <r>
    <x v="118"/>
    <x v="112"/>
    <x v="118"/>
    <x v="4"/>
    <n v="5"/>
    <n v="502.71"/>
    <s v="807 Main St"/>
    <x v="3"/>
    <x v="0"/>
    <s v="TRK61957665"/>
    <n v="7"/>
    <x v="1"/>
    <x v="4"/>
    <n v="2513.5500000000002"/>
  </r>
  <r>
    <x v="119"/>
    <x v="113"/>
    <x v="119"/>
    <x v="6"/>
    <n v="2"/>
    <n v="534.66999999999996"/>
    <s v="187 Main St"/>
    <x v="0"/>
    <x v="0"/>
    <s v="TRK47373682"/>
    <n v="7"/>
    <x v="1"/>
    <x v="1"/>
    <n v="1069.3399999999999"/>
  </r>
  <r>
    <x v="120"/>
    <x v="114"/>
    <x v="120"/>
    <x v="2"/>
    <n v="4"/>
    <n v="629.34"/>
    <s v="986 Main St"/>
    <x v="4"/>
    <x v="1"/>
    <s v="TRK66218053"/>
    <n v="4"/>
    <x v="3"/>
    <x v="0"/>
    <n v="2517.36"/>
  </r>
  <r>
    <x v="121"/>
    <x v="115"/>
    <x v="121"/>
    <x v="6"/>
    <n v="1"/>
    <n v="410.78"/>
    <s v="673 Main St"/>
    <x v="4"/>
    <x v="1"/>
    <s v="TRK24138598"/>
    <n v="1"/>
    <x v="1"/>
    <x v="0"/>
    <n v="410.78"/>
  </r>
  <r>
    <x v="122"/>
    <x v="116"/>
    <x v="122"/>
    <x v="5"/>
    <n v="2"/>
    <n v="533.02"/>
    <s v="588 Main St"/>
    <x v="3"/>
    <x v="0"/>
    <s v="TRK30422853"/>
    <n v="2"/>
    <x v="2"/>
    <x v="3"/>
    <n v="1066.04"/>
  </r>
  <r>
    <x v="123"/>
    <x v="117"/>
    <x v="123"/>
    <x v="6"/>
    <n v="3"/>
    <n v="278.04000000000002"/>
    <s v="727 Main St"/>
    <x v="1"/>
    <x v="3"/>
    <s v="TRK62182901"/>
    <n v="5"/>
    <x v="2"/>
    <x v="0"/>
    <n v="834.12000000000012"/>
  </r>
  <r>
    <x v="124"/>
    <x v="118"/>
    <x v="124"/>
    <x v="4"/>
    <n v="4"/>
    <n v="283.79000000000002"/>
    <s v="563 Main St"/>
    <x v="1"/>
    <x v="4"/>
    <s v="TRK85321126"/>
    <n v="8"/>
    <x v="2"/>
    <x v="4"/>
    <n v="1135.1600000000001"/>
  </r>
  <r>
    <x v="125"/>
    <x v="119"/>
    <x v="125"/>
    <x v="1"/>
    <n v="2"/>
    <n v="512.65"/>
    <s v="758 Main St"/>
    <x v="2"/>
    <x v="0"/>
    <s v="TRK81846174"/>
    <n v="5"/>
    <x v="0"/>
    <x v="2"/>
    <n v="1025.3"/>
  </r>
  <r>
    <x v="126"/>
    <x v="120"/>
    <x v="126"/>
    <x v="6"/>
    <n v="4"/>
    <n v="275.5"/>
    <s v="353 Main St"/>
    <x v="3"/>
    <x v="0"/>
    <s v="TRK68250319"/>
    <n v="8"/>
    <x v="1"/>
    <x v="4"/>
    <n v="1102"/>
  </r>
  <r>
    <x v="127"/>
    <x v="121"/>
    <x v="127"/>
    <x v="6"/>
    <n v="3"/>
    <n v="469.32"/>
    <s v="365 Main St"/>
    <x v="0"/>
    <x v="0"/>
    <s v="TRK73929833"/>
    <n v="3"/>
    <x v="2"/>
    <x v="4"/>
    <n v="1407.96"/>
  </r>
  <r>
    <x v="128"/>
    <x v="96"/>
    <x v="128"/>
    <x v="2"/>
    <n v="4"/>
    <n v="21.07"/>
    <s v="244 Main St"/>
    <x v="3"/>
    <x v="3"/>
    <s v="TRK41432648"/>
    <n v="4"/>
    <x v="1"/>
    <x v="4"/>
    <n v="84.28"/>
  </r>
  <r>
    <x v="129"/>
    <x v="122"/>
    <x v="129"/>
    <x v="5"/>
    <n v="4"/>
    <n v="263.93"/>
    <s v="427 Main St"/>
    <x v="0"/>
    <x v="0"/>
    <s v="TRK72481234"/>
    <n v="4"/>
    <x v="1"/>
    <x v="3"/>
    <n v="1055.72"/>
  </r>
  <r>
    <x v="130"/>
    <x v="123"/>
    <x v="130"/>
    <x v="6"/>
    <n v="3"/>
    <n v="501.3"/>
    <s v="513 Main St"/>
    <x v="1"/>
    <x v="1"/>
    <s v="TRK88360704"/>
    <n v="3"/>
    <x v="3"/>
    <x v="3"/>
    <n v="1503.9"/>
  </r>
  <r>
    <x v="131"/>
    <x v="124"/>
    <x v="131"/>
    <x v="2"/>
    <n v="1"/>
    <n v="84.8"/>
    <s v="606 Main St"/>
    <x v="3"/>
    <x v="4"/>
    <s v="TRK51648833"/>
    <n v="5"/>
    <x v="2"/>
    <x v="0"/>
    <n v="84.8"/>
  </r>
  <r>
    <x v="132"/>
    <x v="125"/>
    <x v="132"/>
    <x v="2"/>
    <n v="4"/>
    <n v="450.75"/>
    <s v="583 Main St"/>
    <x v="2"/>
    <x v="0"/>
    <s v="TRK13137948"/>
    <n v="6"/>
    <x v="3"/>
    <x v="2"/>
    <n v="1803"/>
  </r>
  <r>
    <x v="133"/>
    <x v="126"/>
    <x v="133"/>
    <x v="3"/>
    <n v="4"/>
    <n v="302.05"/>
    <s v="636 Main St"/>
    <x v="0"/>
    <x v="1"/>
    <s v="TRK68969625"/>
    <n v="6"/>
    <x v="0"/>
    <x v="4"/>
    <n v="1208.2"/>
  </r>
  <r>
    <x v="134"/>
    <x v="127"/>
    <x v="134"/>
    <x v="5"/>
    <n v="2"/>
    <n v="199.7"/>
    <s v="583 Main St"/>
    <x v="4"/>
    <x v="4"/>
    <s v="TRK17354894"/>
    <n v="4"/>
    <x v="2"/>
    <x v="2"/>
    <n v="399.4"/>
  </r>
  <r>
    <x v="135"/>
    <x v="128"/>
    <x v="135"/>
    <x v="4"/>
    <n v="2"/>
    <n v="68.81"/>
    <s v="642 Main St"/>
    <x v="3"/>
    <x v="0"/>
    <s v="TRK86742257"/>
    <n v="5"/>
    <x v="0"/>
    <x v="1"/>
    <n v="137.62"/>
  </r>
  <r>
    <x v="136"/>
    <x v="129"/>
    <x v="136"/>
    <x v="5"/>
    <n v="1"/>
    <n v="44.35"/>
    <s v="595 Main St"/>
    <x v="3"/>
    <x v="1"/>
    <s v="TRK67820278"/>
    <n v="1"/>
    <x v="0"/>
    <x v="0"/>
    <n v="44.35"/>
  </r>
  <r>
    <x v="137"/>
    <x v="130"/>
    <x v="137"/>
    <x v="0"/>
    <n v="2"/>
    <n v="250.98"/>
    <s v="598 Main St"/>
    <x v="2"/>
    <x v="3"/>
    <s v="TRK12242337"/>
    <n v="5"/>
    <x v="2"/>
    <x v="4"/>
    <n v="501.96"/>
  </r>
  <r>
    <x v="138"/>
    <x v="131"/>
    <x v="138"/>
    <x v="2"/>
    <n v="1"/>
    <n v="298.06"/>
    <s v="478 Main St"/>
    <x v="0"/>
    <x v="4"/>
    <s v="TRK31863841"/>
    <n v="3"/>
    <x v="3"/>
    <x v="4"/>
    <n v="298.06"/>
  </r>
  <r>
    <x v="139"/>
    <x v="132"/>
    <x v="139"/>
    <x v="1"/>
    <n v="1"/>
    <n v="583.9"/>
    <s v="714 Main St"/>
    <x v="4"/>
    <x v="2"/>
    <s v="TRK33114521"/>
    <n v="1"/>
    <x v="2"/>
    <x v="2"/>
    <n v="583.9"/>
  </r>
  <r>
    <x v="140"/>
    <x v="133"/>
    <x v="140"/>
    <x v="3"/>
    <n v="3"/>
    <n v="528.14"/>
    <s v="388 Main St"/>
    <x v="1"/>
    <x v="3"/>
    <s v="TRK38624225"/>
    <n v="3"/>
    <x v="1"/>
    <x v="2"/>
    <n v="1584.42"/>
  </r>
  <r>
    <x v="141"/>
    <x v="134"/>
    <x v="141"/>
    <x v="4"/>
    <n v="3"/>
    <n v="684.14"/>
    <s v="151 Main St"/>
    <x v="4"/>
    <x v="1"/>
    <s v="TRK66230753"/>
    <n v="3"/>
    <x v="3"/>
    <x v="0"/>
    <n v="2052.42"/>
  </r>
  <r>
    <x v="142"/>
    <x v="135"/>
    <x v="142"/>
    <x v="6"/>
    <n v="5"/>
    <n v="272.77"/>
    <s v="573 Main St"/>
    <x v="4"/>
    <x v="4"/>
    <s v="TRK79451491"/>
    <n v="7"/>
    <x v="3"/>
    <x v="2"/>
    <n v="1363.85"/>
  </r>
  <r>
    <x v="143"/>
    <x v="136"/>
    <x v="143"/>
    <x v="3"/>
    <n v="4"/>
    <n v="400.07"/>
    <s v="933 Main St"/>
    <x v="1"/>
    <x v="0"/>
    <s v="TRK34654244"/>
    <n v="5"/>
    <x v="2"/>
    <x v="1"/>
    <n v="1600.28"/>
  </r>
  <r>
    <x v="144"/>
    <x v="128"/>
    <x v="144"/>
    <x v="6"/>
    <n v="5"/>
    <n v="219.78"/>
    <s v="895 Main St"/>
    <x v="2"/>
    <x v="4"/>
    <s v="TRK80100887"/>
    <n v="8"/>
    <x v="2"/>
    <x v="3"/>
    <n v="1098.9000000000001"/>
  </r>
  <r>
    <x v="145"/>
    <x v="17"/>
    <x v="145"/>
    <x v="4"/>
    <n v="3"/>
    <n v="146.91"/>
    <s v="798 Main St"/>
    <x v="2"/>
    <x v="3"/>
    <s v="TRK29318610"/>
    <n v="6"/>
    <x v="1"/>
    <x v="4"/>
    <n v="440.73"/>
  </r>
  <r>
    <x v="146"/>
    <x v="137"/>
    <x v="146"/>
    <x v="2"/>
    <n v="2"/>
    <n v="411.49"/>
    <s v="404 Main St"/>
    <x v="2"/>
    <x v="2"/>
    <s v="TRK68893369"/>
    <n v="4"/>
    <x v="2"/>
    <x v="0"/>
    <n v="822.98"/>
  </r>
  <r>
    <x v="147"/>
    <x v="138"/>
    <x v="147"/>
    <x v="5"/>
    <n v="2"/>
    <n v="465.18"/>
    <s v="893 Main St"/>
    <x v="2"/>
    <x v="1"/>
    <s v="TRK16196000"/>
    <n v="2"/>
    <x v="0"/>
    <x v="4"/>
    <n v="930.36"/>
  </r>
  <r>
    <x v="148"/>
    <x v="139"/>
    <x v="148"/>
    <x v="1"/>
    <n v="2"/>
    <n v="319.91000000000003"/>
    <s v="139 Main St"/>
    <x v="2"/>
    <x v="1"/>
    <s v="TRK56853491"/>
    <n v="3"/>
    <x v="3"/>
    <x v="4"/>
    <n v="639.82000000000005"/>
  </r>
  <r>
    <x v="149"/>
    <x v="140"/>
    <x v="149"/>
    <x v="5"/>
    <n v="1"/>
    <n v="217.56"/>
    <s v="174 Main St"/>
    <x v="0"/>
    <x v="3"/>
    <s v="TRK47153818"/>
    <n v="3"/>
    <x v="2"/>
    <x v="3"/>
    <n v="217.56"/>
  </r>
  <r>
    <x v="150"/>
    <x v="141"/>
    <x v="150"/>
    <x v="1"/>
    <n v="2"/>
    <n v="105.57"/>
    <s v="981 Main St"/>
    <x v="0"/>
    <x v="2"/>
    <s v="TRK29878837"/>
    <n v="5"/>
    <x v="3"/>
    <x v="4"/>
    <n v="211.14"/>
  </r>
  <r>
    <x v="151"/>
    <x v="142"/>
    <x v="151"/>
    <x v="4"/>
    <n v="5"/>
    <n v="444.76"/>
    <s v="947 Main St"/>
    <x v="0"/>
    <x v="2"/>
    <s v="TRK91226500"/>
    <n v="7"/>
    <x v="2"/>
    <x v="2"/>
    <n v="2223.8000000000002"/>
  </r>
  <r>
    <x v="152"/>
    <x v="143"/>
    <x v="152"/>
    <x v="3"/>
    <n v="2"/>
    <n v="399.04"/>
    <s v="659 Main St"/>
    <x v="4"/>
    <x v="1"/>
    <s v="TRK90329250"/>
    <n v="3"/>
    <x v="1"/>
    <x v="1"/>
    <n v="798.08"/>
  </r>
  <r>
    <x v="153"/>
    <x v="144"/>
    <x v="153"/>
    <x v="3"/>
    <n v="4"/>
    <n v="534.48"/>
    <s v="437 Main St"/>
    <x v="1"/>
    <x v="2"/>
    <s v="TRK95992269"/>
    <n v="9"/>
    <x v="3"/>
    <x v="0"/>
    <n v="2137.92"/>
  </r>
  <r>
    <x v="154"/>
    <x v="145"/>
    <x v="154"/>
    <x v="1"/>
    <n v="4"/>
    <n v="408.21"/>
    <s v="727 Main St"/>
    <x v="2"/>
    <x v="4"/>
    <s v="TRK13955543"/>
    <n v="9"/>
    <x v="2"/>
    <x v="0"/>
    <n v="1632.84"/>
  </r>
  <r>
    <x v="155"/>
    <x v="146"/>
    <x v="155"/>
    <x v="1"/>
    <n v="1"/>
    <n v="424.4"/>
    <s v="446 Main St"/>
    <x v="1"/>
    <x v="0"/>
    <s v="TRK20706408"/>
    <n v="6"/>
    <x v="3"/>
    <x v="1"/>
    <n v="424.4"/>
  </r>
  <r>
    <x v="156"/>
    <x v="147"/>
    <x v="156"/>
    <x v="3"/>
    <n v="2"/>
    <n v="269.83"/>
    <s v="651 Main St"/>
    <x v="1"/>
    <x v="3"/>
    <s v="TRK24451893"/>
    <n v="4"/>
    <x v="0"/>
    <x v="2"/>
    <n v="539.66"/>
  </r>
  <r>
    <x v="157"/>
    <x v="148"/>
    <x v="157"/>
    <x v="0"/>
    <n v="2"/>
    <n v="564.58000000000004"/>
    <s v="636 Main St"/>
    <x v="1"/>
    <x v="2"/>
    <s v="TRK71227815"/>
    <n v="4"/>
    <x v="3"/>
    <x v="3"/>
    <n v="1129.1600000000001"/>
  </r>
  <r>
    <x v="158"/>
    <x v="149"/>
    <x v="158"/>
    <x v="2"/>
    <n v="1"/>
    <n v="331.06"/>
    <s v="737 Main St"/>
    <x v="2"/>
    <x v="4"/>
    <s v="TRK46335144"/>
    <n v="5"/>
    <x v="3"/>
    <x v="0"/>
    <n v="331.06"/>
  </r>
  <r>
    <x v="159"/>
    <x v="150"/>
    <x v="159"/>
    <x v="4"/>
    <n v="1"/>
    <n v="299.35000000000002"/>
    <s v="819 Main St"/>
    <x v="2"/>
    <x v="1"/>
    <s v="TRK50921780"/>
    <n v="5"/>
    <x v="3"/>
    <x v="2"/>
    <n v="299.35000000000002"/>
  </r>
  <r>
    <x v="160"/>
    <x v="96"/>
    <x v="160"/>
    <x v="0"/>
    <n v="4"/>
    <n v="101.32"/>
    <s v="240 Main St"/>
    <x v="4"/>
    <x v="4"/>
    <s v="TRK81738254"/>
    <n v="7"/>
    <x v="2"/>
    <x v="1"/>
    <n v="405.28"/>
  </r>
  <r>
    <x v="161"/>
    <x v="151"/>
    <x v="161"/>
    <x v="0"/>
    <n v="1"/>
    <n v="211.14"/>
    <s v="513 Main St"/>
    <x v="2"/>
    <x v="1"/>
    <s v="TRK53784452"/>
    <n v="1"/>
    <x v="0"/>
    <x v="3"/>
    <n v="211.14"/>
  </r>
  <r>
    <x v="162"/>
    <x v="152"/>
    <x v="162"/>
    <x v="3"/>
    <n v="3"/>
    <n v="65.86"/>
    <s v="917 Main St"/>
    <x v="1"/>
    <x v="4"/>
    <s v="TRK79854624"/>
    <n v="8"/>
    <x v="3"/>
    <x v="4"/>
    <n v="197.58"/>
  </r>
  <r>
    <x v="163"/>
    <x v="53"/>
    <x v="163"/>
    <x v="2"/>
    <n v="1"/>
    <n v="641.39"/>
    <s v="277 Main St"/>
    <x v="1"/>
    <x v="1"/>
    <s v="TRK16695001"/>
    <n v="1"/>
    <x v="2"/>
    <x v="1"/>
    <n v="641.39"/>
  </r>
  <r>
    <x v="164"/>
    <x v="153"/>
    <x v="164"/>
    <x v="6"/>
    <n v="5"/>
    <n v="536.58000000000004"/>
    <s v="667 Main St"/>
    <x v="3"/>
    <x v="4"/>
    <s v="TRK49673411"/>
    <n v="5"/>
    <x v="0"/>
    <x v="4"/>
    <n v="2682.9"/>
  </r>
  <r>
    <x v="165"/>
    <x v="154"/>
    <x v="165"/>
    <x v="0"/>
    <n v="2"/>
    <n v="500.29"/>
    <s v="226 Main St"/>
    <x v="1"/>
    <x v="2"/>
    <s v="TRK30155194"/>
    <n v="7"/>
    <x v="3"/>
    <x v="4"/>
    <n v="1000.58"/>
  </r>
  <r>
    <x v="166"/>
    <x v="155"/>
    <x v="166"/>
    <x v="3"/>
    <n v="3"/>
    <n v="86.29"/>
    <s v="565 Main St"/>
    <x v="4"/>
    <x v="3"/>
    <s v="TRK23791726"/>
    <n v="6"/>
    <x v="3"/>
    <x v="0"/>
    <n v="258.87"/>
  </r>
  <r>
    <x v="167"/>
    <x v="156"/>
    <x v="167"/>
    <x v="3"/>
    <n v="2"/>
    <n v="384.14"/>
    <s v="219 Main St"/>
    <x v="1"/>
    <x v="2"/>
    <s v="TRK44268941"/>
    <n v="2"/>
    <x v="3"/>
    <x v="2"/>
    <n v="768.28"/>
  </r>
  <r>
    <x v="168"/>
    <x v="157"/>
    <x v="168"/>
    <x v="4"/>
    <n v="1"/>
    <n v="594.96"/>
    <s v="878 Main St"/>
    <x v="4"/>
    <x v="2"/>
    <s v="TRK78551375"/>
    <n v="6"/>
    <x v="2"/>
    <x v="3"/>
    <n v="594.96"/>
  </r>
  <r>
    <x v="169"/>
    <x v="158"/>
    <x v="169"/>
    <x v="4"/>
    <n v="1"/>
    <n v="427.82"/>
    <s v="732 Main St"/>
    <x v="1"/>
    <x v="3"/>
    <s v="TRK78923089"/>
    <n v="2"/>
    <x v="3"/>
    <x v="2"/>
    <n v="427.82"/>
  </r>
  <r>
    <x v="170"/>
    <x v="159"/>
    <x v="170"/>
    <x v="6"/>
    <n v="4"/>
    <n v="662.94"/>
    <s v="535 Main St"/>
    <x v="4"/>
    <x v="1"/>
    <s v="TRK68632951"/>
    <n v="8"/>
    <x v="0"/>
    <x v="0"/>
    <n v="2651.76"/>
  </r>
  <r>
    <x v="171"/>
    <x v="160"/>
    <x v="171"/>
    <x v="2"/>
    <n v="2"/>
    <n v="148.22"/>
    <s v="336 Main St"/>
    <x v="2"/>
    <x v="3"/>
    <s v="TRK67379895"/>
    <n v="7"/>
    <x v="3"/>
    <x v="0"/>
    <n v="296.44"/>
  </r>
  <r>
    <x v="172"/>
    <x v="161"/>
    <x v="172"/>
    <x v="4"/>
    <n v="1"/>
    <n v="254.12"/>
    <s v="365 Main St"/>
    <x v="1"/>
    <x v="3"/>
    <s v="TRK43074303"/>
    <n v="1"/>
    <x v="3"/>
    <x v="2"/>
    <n v="254.12"/>
  </r>
  <r>
    <x v="173"/>
    <x v="59"/>
    <x v="173"/>
    <x v="1"/>
    <n v="3"/>
    <n v="664.46"/>
    <s v="806 Main St"/>
    <x v="1"/>
    <x v="3"/>
    <s v="TRK56989066"/>
    <n v="4"/>
    <x v="1"/>
    <x v="4"/>
    <n v="1993.38"/>
  </r>
  <r>
    <x v="174"/>
    <x v="162"/>
    <x v="174"/>
    <x v="4"/>
    <n v="4"/>
    <n v="600.80999999999995"/>
    <s v="790 Main St"/>
    <x v="0"/>
    <x v="3"/>
    <s v="TRK59154274"/>
    <n v="9"/>
    <x v="0"/>
    <x v="2"/>
    <n v="2403.2399999999998"/>
  </r>
  <r>
    <x v="175"/>
    <x v="163"/>
    <x v="175"/>
    <x v="3"/>
    <n v="5"/>
    <n v="68.34"/>
    <s v="332 Main St"/>
    <x v="0"/>
    <x v="4"/>
    <s v="TRK71410605"/>
    <n v="6"/>
    <x v="3"/>
    <x v="1"/>
    <n v="341.7"/>
  </r>
  <r>
    <x v="176"/>
    <x v="164"/>
    <x v="176"/>
    <x v="2"/>
    <n v="4"/>
    <n v="430.83"/>
    <s v="553 Main St"/>
    <x v="3"/>
    <x v="4"/>
    <s v="TRK88251529"/>
    <n v="8"/>
    <x v="3"/>
    <x v="1"/>
    <n v="1723.32"/>
  </r>
  <r>
    <x v="177"/>
    <x v="165"/>
    <x v="177"/>
    <x v="3"/>
    <n v="5"/>
    <n v="431.69"/>
    <s v="354 Main St"/>
    <x v="2"/>
    <x v="4"/>
    <s v="TRK13003066"/>
    <n v="10"/>
    <x v="2"/>
    <x v="3"/>
    <n v="2158.4499999999998"/>
  </r>
  <r>
    <x v="178"/>
    <x v="166"/>
    <x v="178"/>
    <x v="3"/>
    <n v="4"/>
    <n v="512.05999999999995"/>
    <s v="283 Main St"/>
    <x v="1"/>
    <x v="3"/>
    <s v="TRK49791755"/>
    <n v="5"/>
    <x v="0"/>
    <x v="4"/>
    <n v="2048.2399999999998"/>
  </r>
  <r>
    <x v="179"/>
    <x v="167"/>
    <x v="179"/>
    <x v="5"/>
    <n v="3"/>
    <n v="539.91"/>
    <s v="500 Main St"/>
    <x v="2"/>
    <x v="3"/>
    <s v="TRK14332053"/>
    <n v="8"/>
    <x v="2"/>
    <x v="2"/>
    <n v="1619.73"/>
  </r>
  <r>
    <x v="180"/>
    <x v="168"/>
    <x v="180"/>
    <x v="2"/>
    <n v="5"/>
    <n v="316.07"/>
    <s v="970 Main St"/>
    <x v="4"/>
    <x v="2"/>
    <s v="TRK18713727"/>
    <n v="10"/>
    <x v="2"/>
    <x v="4"/>
    <n v="1580.35"/>
  </r>
  <r>
    <x v="181"/>
    <x v="169"/>
    <x v="181"/>
    <x v="4"/>
    <n v="5"/>
    <n v="404.39"/>
    <s v="247 Main St"/>
    <x v="1"/>
    <x v="0"/>
    <s v="TRK17205146"/>
    <n v="10"/>
    <x v="2"/>
    <x v="1"/>
    <n v="2021.95"/>
  </r>
  <r>
    <x v="182"/>
    <x v="170"/>
    <x v="182"/>
    <x v="6"/>
    <n v="1"/>
    <n v="600.54"/>
    <s v="596 Main St"/>
    <x v="0"/>
    <x v="4"/>
    <s v="TRK96188223"/>
    <n v="4"/>
    <x v="3"/>
    <x v="4"/>
    <n v="600.54"/>
  </r>
  <r>
    <x v="183"/>
    <x v="171"/>
    <x v="183"/>
    <x v="0"/>
    <n v="5"/>
    <n v="186.28"/>
    <s v="258 Main St"/>
    <x v="0"/>
    <x v="3"/>
    <s v="TRK16658182"/>
    <n v="8"/>
    <x v="0"/>
    <x v="2"/>
    <n v="931.4"/>
  </r>
  <r>
    <x v="184"/>
    <x v="172"/>
    <x v="184"/>
    <x v="2"/>
    <n v="4"/>
    <n v="214.54"/>
    <s v="231 Main St"/>
    <x v="3"/>
    <x v="1"/>
    <s v="TRK39255469"/>
    <n v="7"/>
    <x v="2"/>
    <x v="1"/>
    <n v="858.16"/>
  </r>
  <r>
    <x v="185"/>
    <x v="61"/>
    <x v="185"/>
    <x v="5"/>
    <n v="1"/>
    <n v="210.7"/>
    <s v="572 Main St"/>
    <x v="1"/>
    <x v="0"/>
    <s v="TRK96935978"/>
    <n v="2"/>
    <x v="3"/>
    <x v="1"/>
    <n v="210.7"/>
  </r>
  <r>
    <x v="186"/>
    <x v="173"/>
    <x v="186"/>
    <x v="1"/>
    <n v="2"/>
    <n v="133.55000000000001"/>
    <s v="322 Main St"/>
    <x v="4"/>
    <x v="4"/>
    <s v="TRK66388885"/>
    <n v="7"/>
    <x v="1"/>
    <x v="3"/>
    <n v="267.10000000000002"/>
  </r>
  <r>
    <x v="187"/>
    <x v="174"/>
    <x v="187"/>
    <x v="3"/>
    <n v="1"/>
    <n v="590.87"/>
    <s v="689 Main St"/>
    <x v="3"/>
    <x v="2"/>
    <s v="TRK79129657"/>
    <n v="6"/>
    <x v="1"/>
    <x v="1"/>
    <n v="590.87"/>
  </r>
  <r>
    <x v="188"/>
    <x v="175"/>
    <x v="188"/>
    <x v="3"/>
    <n v="2"/>
    <n v="363.91"/>
    <s v="927 Main St"/>
    <x v="3"/>
    <x v="0"/>
    <s v="TRK19515949"/>
    <n v="2"/>
    <x v="1"/>
    <x v="1"/>
    <n v="727.82"/>
  </r>
  <r>
    <x v="189"/>
    <x v="176"/>
    <x v="189"/>
    <x v="4"/>
    <n v="5"/>
    <n v="429.45"/>
    <s v="597 Main St"/>
    <x v="3"/>
    <x v="1"/>
    <s v="TRK62786764"/>
    <n v="5"/>
    <x v="3"/>
    <x v="2"/>
    <n v="2147.25"/>
  </r>
  <r>
    <x v="190"/>
    <x v="169"/>
    <x v="190"/>
    <x v="4"/>
    <n v="3"/>
    <n v="223.7"/>
    <s v="725 Main St"/>
    <x v="4"/>
    <x v="2"/>
    <s v="TRK79638203"/>
    <n v="3"/>
    <x v="0"/>
    <x v="2"/>
    <n v="671.09999999999991"/>
  </r>
  <r>
    <x v="191"/>
    <x v="177"/>
    <x v="191"/>
    <x v="5"/>
    <n v="2"/>
    <n v="488.87"/>
    <s v="505 Main St"/>
    <x v="1"/>
    <x v="1"/>
    <s v="TRK58520306"/>
    <n v="4"/>
    <x v="1"/>
    <x v="4"/>
    <n v="977.74"/>
  </r>
  <r>
    <x v="192"/>
    <x v="178"/>
    <x v="192"/>
    <x v="6"/>
    <n v="1"/>
    <n v="645.46"/>
    <s v="151 Main St"/>
    <x v="3"/>
    <x v="1"/>
    <s v="TRK19749672"/>
    <n v="5"/>
    <x v="0"/>
    <x v="4"/>
    <n v="645.46"/>
  </r>
  <r>
    <x v="193"/>
    <x v="179"/>
    <x v="193"/>
    <x v="4"/>
    <n v="1"/>
    <n v="46.66"/>
    <s v="429 Main St"/>
    <x v="4"/>
    <x v="1"/>
    <s v="TRK81320339"/>
    <n v="6"/>
    <x v="2"/>
    <x v="4"/>
    <n v="46.66"/>
  </r>
  <r>
    <x v="194"/>
    <x v="180"/>
    <x v="194"/>
    <x v="0"/>
    <n v="1"/>
    <n v="249.57"/>
    <s v="899 Main St"/>
    <x v="4"/>
    <x v="0"/>
    <s v="TRK90144892"/>
    <n v="3"/>
    <x v="1"/>
    <x v="4"/>
    <n v="249.57"/>
  </r>
  <r>
    <x v="195"/>
    <x v="181"/>
    <x v="195"/>
    <x v="3"/>
    <n v="3"/>
    <n v="619.21"/>
    <s v="801 Main St"/>
    <x v="0"/>
    <x v="1"/>
    <s v="TRK65385674"/>
    <n v="6"/>
    <x v="2"/>
    <x v="2"/>
    <n v="1857.63"/>
  </r>
  <r>
    <x v="196"/>
    <x v="182"/>
    <x v="196"/>
    <x v="6"/>
    <n v="4"/>
    <n v="217.13"/>
    <s v="719 Main St"/>
    <x v="4"/>
    <x v="3"/>
    <s v="TRK64165503"/>
    <n v="8"/>
    <x v="3"/>
    <x v="2"/>
    <n v="868.52"/>
  </r>
  <r>
    <x v="197"/>
    <x v="183"/>
    <x v="197"/>
    <x v="5"/>
    <n v="5"/>
    <n v="221.51"/>
    <s v="723 Main St"/>
    <x v="4"/>
    <x v="2"/>
    <s v="TRK95222269"/>
    <n v="5"/>
    <x v="3"/>
    <x v="1"/>
    <n v="1107.55"/>
  </r>
  <r>
    <x v="198"/>
    <x v="184"/>
    <x v="198"/>
    <x v="5"/>
    <n v="4"/>
    <n v="340.3"/>
    <s v="926 Main St"/>
    <x v="4"/>
    <x v="1"/>
    <s v="TRK94405162"/>
    <n v="8"/>
    <x v="0"/>
    <x v="1"/>
    <n v="1361.2"/>
  </r>
  <r>
    <x v="199"/>
    <x v="185"/>
    <x v="199"/>
    <x v="1"/>
    <n v="1"/>
    <n v="625"/>
    <s v="358 Main St"/>
    <x v="1"/>
    <x v="2"/>
    <s v="TRK21114341"/>
    <n v="5"/>
    <x v="3"/>
    <x v="4"/>
    <n v="625"/>
  </r>
  <r>
    <x v="200"/>
    <x v="186"/>
    <x v="200"/>
    <x v="2"/>
    <n v="5"/>
    <n v="433.26"/>
    <s v="895 Main St"/>
    <x v="2"/>
    <x v="3"/>
    <s v="TRK37531040"/>
    <n v="9"/>
    <x v="0"/>
    <x v="4"/>
    <n v="2166.3000000000002"/>
  </r>
  <r>
    <x v="201"/>
    <x v="187"/>
    <x v="201"/>
    <x v="0"/>
    <n v="2"/>
    <n v="674.9"/>
    <s v="146 Main St"/>
    <x v="1"/>
    <x v="0"/>
    <s v="TRK75607531"/>
    <n v="4"/>
    <x v="0"/>
    <x v="3"/>
    <n v="1349.8"/>
  </r>
  <r>
    <x v="202"/>
    <x v="188"/>
    <x v="202"/>
    <x v="0"/>
    <n v="3"/>
    <n v="253.98"/>
    <s v="636 Main St"/>
    <x v="2"/>
    <x v="1"/>
    <s v="TRK52522904"/>
    <n v="3"/>
    <x v="1"/>
    <x v="2"/>
    <n v="761.93999999999994"/>
  </r>
  <r>
    <x v="203"/>
    <x v="94"/>
    <x v="203"/>
    <x v="4"/>
    <n v="3"/>
    <n v="356.84"/>
    <s v="172 Main St"/>
    <x v="1"/>
    <x v="0"/>
    <s v="TRK89849342"/>
    <n v="5"/>
    <x v="0"/>
    <x v="0"/>
    <n v="1070.52"/>
  </r>
  <r>
    <x v="204"/>
    <x v="189"/>
    <x v="204"/>
    <x v="5"/>
    <n v="4"/>
    <n v="413.71"/>
    <s v="478 Main St"/>
    <x v="3"/>
    <x v="1"/>
    <s v="TRK21638425"/>
    <n v="9"/>
    <x v="1"/>
    <x v="3"/>
    <n v="1654.84"/>
  </r>
  <r>
    <x v="205"/>
    <x v="190"/>
    <x v="205"/>
    <x v="6"/>
    <n v="3"/>
    <n v="147.38999999999999"/>
    <s v="609 Main St"/>
    <x v="0"/>
    <x v="2"/>
    <s v="TRK58357269"/>
    <n v="3"/>
    <x v="2"/>
    <x v="2"/>
    <n v="442.17"/>
  </r>
  <r>
    <x v="206"/>
    <x v="162"/>
    <x v="206"/>
    <x v="5"/>
    <n v="4"/>
    <n v="229.1"/>
    <s v="729 Main St"/>
    <x v="3"/>
    <x v="2"/>
    <s v="TRK77172975"/>
    <n v="8"/>
    <x v="3"/>
    <x v="2"/>
    <n v="916.4"/>
  </r>
  <r>
    <x v="207"/>
    <x v="191"/>
    <x v="207"/>
    <x v="1"/>
    <n v="1"/>
    <n v="121.96"/>
    <s v="999 Main St"/>
    <x v="0"/>
    <x v="3"/>
    <s v="TRK44416659"/>
    <n v="3"/>
    <x v="2"/>
    <x v="4"/>
    <n v="121.96"/>
  </r>
  <r>
    <x v="208"/>
    <x v="192"/>
    <x v="208"/>
    <x v="6"/>
    <n v="2"/>
    <n v="408.32"/>
    <s v="597 Main St"/>
    <x v="1"/>
    <x v="0"/>
    <s v="TRK29003608"/>
    <n v="3"/>
    <x v="1"/>
    <x v="3"/>
    <n v="816.64"/>
  </r>
  <r>
    <x v="209"/>
    <x v="193"/>
    <x v="209"/>
    <x v="2"/>
    <n v="5"/>
    <n v="187.97"/>
    <s v="706 Main St"/>
    <x v="4"/>
    <x v="2"/>
    <s v="TRK30615168"/>
    <n v="9"/>
    <x v="0"/>
    <x v="4"/>
    <n v="939.85"/>
  </r>
  <r>
    <x v="210"/>
    <x v="194"/>
    <x v="210"/>
    <x v="3"/>
    <n v="3"/>
    <n v="358.48"/>
    <s v="513 Main St"/>
    <x v="3"/>
    <x v="3"/>
    <s v="TRK10658539"/>
    <n v="7"/>
    <x v="1"/>
    <x v="3"/>
    <n v="1075.44"/>
  </r>
  <r>
    <x v="211"/>
    <x v="195"/>
    <x v="211"/>
    <x v="4"/>
    <n v="3"/>
    <n v="193.58"/>
    <s v="185 Main St"/>
    <x v="3"/>
    <x v="4"/>
    <s v="TRK83853742"/>
    <n v="7"/>
    <x v="1"/>
    <x v="2"/>
    <n v="580.74"/>
  </r>
  <r>
    <x v="212"/>
    <x v="196"/>
    <x v="212"/>
    <x v="0"/>
    <n v="1"/>
    <n v="265.38"/>
    <s v="367 Main St"/>
    <x v="2"/>
    <x v="1"/>
    <s v="TRK34751835"/>
    <n v="6"/>
    <x v="3"/>
    <x v="2"/>
    <n v="265.38"/>
  </r>
  <r>
    <x v="213"/>
    <x v="197"/>
    <x v="213"/>
    <x v="5"/>
    <n v="1"/>
    <n v="634.4"/>
    <s v="317 Main St"/>
    <x v="4"/>
    <x v="1"/>
    <s v="TRK54757882"/>
    <n v="6"/>
    <x v="0"/>
    <x v="2"/>
    <n v="634.4"/>
  </r>
  <r>
    <x v="214"/>
    <x v="58"/>
    <x v="214"/>
    <x v="6"/>
    <n v="4"/>
    <n v="305.72000000000003"/>
    <s v="673 Main St"/>
    <x v="1"/>
    <x v="3"/>
    <s v="TRK89423603"/>
    <n v="5"/>
    <x v="2"/>
    <x v="3"/>
    <n v="1222.8800000000001"/>
  </r>
  <r>
    <x v="215"/>
    <x v="121"/>
    <x v="215"/>
    <x v="4"/>
    <n v="1"/>
    <n v="303.60000000000002"/>
    <s v="432 Main St"/>
    <x v="4"/>
    <x v="0"/>
    <s v="TRK24585307"/>
    <n v="5"/>
    <x v="1"/>
    <x v="3"/>
    <n v="303.60000000000002"/>
  </r>
  <r>
    <x v="216"/>
    <x v="198"/>
    <x v="216"/>
    <x v="0"/>
    <n v="4"/>
    <n v="496"/>
    <s v="811 Main St"/>
    <x v="1"/>
    <x v="1"/>
    <s v="TRK84625405"/>
    <n v="8"/>
    <x v="3"/>
    <x v="4"/>
    <n v="1984"/>
  </r>
  <r>
    <x v="217"/>
    <x v="199"/>
    <x v="217"/>
    <x v="6"/>
    <n v="4"/>
    <n v="321.51"/>
    <s v="908 Main St"/>
    <x v="4"/>
    <x v="2"/>
    <s v="TRK65596914"/>
    <n v="9"/>
    <x v="2"/>
    <x v="4"/>
    <n v="1286.04"/>
  </r>
  <r>
    <x v="218"/>
    <x v="200"/>
    <x v="218"/>
    <x v="2"/>
    <n v="3"/>
    <n v="112.46"/>
    <s v="882 Main St"/>
    <x v="3"/>
    <x v="0"/>
    <s v="TRK10993930"/>
    <n v="6"/>
    <x v="0"/>
    <x v="0"/>
    <n v="337.38"/>
  </r>
  <r>
    <x v="219"/>
    <x v="201"/>
    <x v="219"/>
    <x v="5"/>
    <n v="5"/>
    <n v="61.97"/>
    <s v="457 Main St"/>
    <x v="4"/>
    <x v="3"/>
    <s v="TRK99387220"/>
    <n v="6"/>
    <x v="0"/>
    <x v="2"/>
    <n v="309.85000000000002"/>
  </r>
  <r>
    <x v="220"/>
    <x v="202"/>
    <x v="220"/>
    <x v="5"/>
    <n v="2"/>
    <n v="373.17"/>
    <s v="497 Main St"/>
    <x v="2"/>
    <x v="4"/>
    <s v="TRK95188748"/>
    <n v="6"/>
    <x v="0"/>
    <x v="1"/>
    <n v="746.34"/>
  </r>
  <r>
    <x v="221"/>
    <x v="203"/>
    <x v="221"/>
    <x v="2"/>
    <n v="5"/>
    <n v="639.37"/>
    <s v="552 Main St"/>
    <x v="0"/>
    <x v="4"/>
    <s v="TRK50003989"/>
    <n v="6"/>
    <x v="0"/>
    <x v="4"/>
    <n v="3196.85"/>
  </r>
  <r>
    <x v="222"/>
    <x v="204"/>
    <x v="222"/>
    <x v="3"/>
    <n v="4"/>
    <n v="693.36"/>
    <s v="931 Main St"/>
    <x v="1"/>
    <x v="0"/>
    <s v="TRK17293348"/>
    <n v="8"/>
    <x v="2"/>
    <x v="0"/>
    <n v="2773.44"/>
  </r>
  <r>
    <x v="223"/>
    <x v="57"/>
    <x v="223"/>
    <x v="1"/>
    <n v="4"/>
    <n v="692.91"/>
    <s v="673 Main St"/>
    <x v="2"/>
    <x v="4"/>
    <s v="TRK55009149"/>
    <n v="9"/>
    <x v="0"/>
    <x v="0"/>
    <n v="2771.64"/>
  </r>
  <r>
    <x v="224"/>
    <x v="205"/>
    <x v="224"/>
    <x v="4"/>
    <n v="4"/>
    <n v="91.46"/>
    <s v="507 Main St"/>
    <x v="4"/>
    <x v="1"/>
    <s v="TRK17554673"/>
    <n v="9"/>
    <x v="0"/>
    <x v="1"/>
    <n v="365.84"/>
  </r>
  <r>
    <x v="225"/>
    <x v="206"/>
    <x v="225"/>
    <x v="1"/>
    <n v="3"/>
    <n v="273.95999999999998"/>
    <s v="692 Main St"/>
    <x v="0"/>
    <x v="2"/>
    <s v="TRK50246700"/>
    <n v="8"/>
    <x v="0"/>
    <x v="4"/>
    <n v="821.87999999999988"/>
  </r>
  <r>
    <x v="226"/>
    <x v="207"/>
    <x v="226"/>
    <x v="6"/>
    <n v="3"/>
    <n v="588.04999999999995"/>
    <s v="242 Main St"/>
    <x v="3"/>
    <x v="3"/>
    <s v="TRK93063929"/>
    <n v="8"/>
    <x v="2"/>
    <x v="0"/>
    <n v="1764.15"/>
  </r>
  <r>
    <x v="227"/>
    <x v="208"/>
    <x v="227"/>
    <x v="0"/>
    <n v="2"/>
    <n v="365.17"/>
    <s v="353 Main St"/>
    <x v="1"/>
    <x v="1"/>
    <s v="TRK89023251"/>
    <n v="4"/>
    <x v="1"/>
    <x v="3"/>
    <n v="730.34"/>
  </r>
  <r>
    <x v="228"/>
    <x v="209"/>
    <x v="228"/>
    <x v="3"/>
    <n v="4"/>
    <n v="385.92"/>
    <s v="579 Main St"/>
    <x v="2"/>
    <x v="1"/>
    <s v="TRK92055007"/>
    <n v="8"/>
    <x v="2"/>
    <x v="0"/>
    <n v="1543.68"/>
  </r>
  <r>
    <x v="229"/>
    <x v="210"/>
    <x v="229"/>
    <x v="2"/>
    <n v="1"/>
    <n v="562.61"/>
    <s v="762 Main St"/>
    <x v="2"/>
    <x v="3"/>
    <s v="TRK70997648"/>
    <n v="3"/>
    <x v="3"/>
    <x v="3"/>
    <n v="562.61"/>
  </r>
  <r>
    <x v="230"/>
    <x v="211"/>
    <x v="230"/>
    <x v="6"/>
    <n v="4"/>
    <n v="61.91"/>
    <s v="948 Main St"/>
    <x v="3"/>
    <x v="3"/>
    <s v="TRK24497305"/>
    <n v="6"/>
    <x v="3"/>
    <x v="2"/>
    <n v="247.64"/>
  </r>
  <r>
    <x v="231"/>
    <x v="212"/>
    <x v="231"/>
    <x v="1"/>
    <n v="4"/>
    <n v="41.9"/>
    <s v="327 Main St"/>
    <x v="3"/>
    <x v="4"/>
    <s v="TRK46898848"/>
    <n v="9"/>
    <x v="1"/>
    <x v="0"/>
    <n v="167.6"/>
  </r>
  <r>
    <x v="232"/>
    <x v="213"/>
    <x v="232"/>
    <x v="4"/>
    <n v="4"/>
    <n v="444.44"/>
    <s v="610 Main St"/>
    <x v="0"/>
    <x v="1"/>
    <s v="TRK75568437"/>
    <n v="8"/>
    <x v="3"/>
    <x v="4"/>
    <n v="1777.76"/>
  </r>
  <r>
    <x v="233"/>
    <x v="214"/>
    <x v="233"/>
    <x v="1"/>
    <n v="3"/>
    <n v="311.33"/>
    <s v="146 Main St"/>
    <x v="4"/>
    <x v="1"/>
    <s v="TRK73699939"/>
    <n v="3"/>
    <x v="3"/>
    <x v="0"/>
    <n v="933.99"/>
  </r>
  <r>
    <x v="234"/>
    <x v="130"/>
    <x v="234"/>
    <x v="4"/>
    <n v="4"/>
    <n v="236.41"/>
    <s v="337 Main St"/>
    <x v="0"/>
    <x v="4"/>
    <s v="TRK26957950"/>
    <n v="7"/>
    <x v="0"/>
    <x v="4"/>
    <n v="945.64"/>
  </r>
  <r>
    <x v="235"/>
    <x v="215"/>
    <x v="235"/>
    <x v="6"/>
    <n v="1"/>
    <n v="65.45"/>
    <s v="815 Main St"/>
    <x v="4"/>
    <x v="4"/>
    <s v="TRK30009218"/>
    <n v="2"/>
    <x v="3"/>
    <x v="4"/>
    <n v="65.45"/>
  </r>
  <r>
    <x v="236"/>
    <x v="107"/>
    <x v="236"/>
    <x v="0"/>
    <n v="1"/>
    <n v="318.81"/>
    <s v="562 Main St"/>
    <x v="0"/>
    <x v="4"/>
    <s v="TRK39663243"/>
    <n v="3"/>
    <x v="3"/>
    <x v="2"/>
    <n v="318.81"/>
  </r>
  <r>
    <x v="237"/>
    <x v="216"/>
    <x v="237"/>
    <x v="0"/>
    <n v="3"/>
    <n v="583.72"/>
    <s v="783 Main St"/>
    <x v="2"/>
    <x v="0"/>
    <s v="TRK74097570"/>
    <n v="5"/>
    <x v="1"/>
    <x v="3"/>
    <n v="1751.16"/>
  </r>
  <r>
    <x v="238"/>
    <x v="217"/>
    <x v="238"/>
    <x v="6"/>
    <n v="4"/>
    <n v="384.32"/>
    <s v="770 Main St"/>
    <x v="2"/>
    <x v="4"/>
    <s v="TRK76307307"/>
    <n v="6"/>
    <x v="3"/>
    <x v="4"/>
    <n v="1537.28"/>
  </r>
  <r>
    <x v="239"/>
    <x v="218"/>
    <x v="239"/>
    <x v="2"/>
    <n v="3"/>
    <n v="538.74"/>
    <s v="456 Main St"/>
    <x v="1"/>
    <x v="0"/>
    <s v="TRK71127943"/>
    <n v="6"/>
    <x v="1"/>
    <x v="2"/>
    <n v="1616.22"/>
  </r>
  <r>
    <x v="240"/>
    <x v="219"/>
    <x v="240"/>
    <x v="2"/>
    <n v="1"/>
    <n v="17.239999999999998"/>
    <s v="255 Main St"/>
    <x v="1"/>
    <x v="4"/>
    <s v="TRK93444157"/>
    <n v="2"/>
    <x v="1"/>
    <x v="0"/>
    <n v="17.239999999999998"/>
  </r>
  <r>
    <x v="241"/>
    <x v="220"/>
    <x v="241"/>
    <x v="3"/>
    <n v="5"/>
    <n v="615.66999999999996"/>
    <s v="407 Main St"/>
    <x v="1"/>
    <x v="4"/>
    <s v="TRK44164590"/>
    <n v="6"/>
    <x v="0"/>
    <x v="2"/>
    <n v="3078.35"/>
  </r>
  <r>
    <x v="242"/>
    <x v="221"/>
    <x v="242"/>
    <x v="4"/>
    <n v="2"/>
    <n v="219.1"/>
    <s v="134 Main St"/>
    <x v="1"/>
    <x v="4"/>
    <s v="TRK97794327"/>
    <n v="4"/>
    <x v="0"/>
    <x v="1"/>
    <n v="438.2"/>
  </r>
  <r>
    <x v="243"/>
    <x v="222"/>
    <x v="243"/>
    <x v="3"/>
    <n v="2"/>
    <n v="144.66"/>
    <s v="506 Main St"/>
    <x v="1"/>
    <x v="1"/>
    <s v="TRK30601940"/>
    <n v="7"/>
    <x v="1"/>
    <x v="4"/>
    <n v="289.32"/>
  </r>
  <r>
    <x v="244"/>
    <x v="223"/>
    <x v="244"/>
    <x v="6"/>
    <n v="2"/>
    <n v="317.77"/>
    <s v="838 Main St"/>
    <x v="0"/>
    <x v="1"/>
    <s v="TRK51518631"/>
    <n v="4"/>
    <x v="3"/>
    <x v="3"/>
    <n v="635.54"/>
  </r>
  <r>
    <x v="245"/>
    <x v="224"/>
    <x v="245"/>
    <x v="5"/>
    <n v="1"/>
    <n v="223.3"/>
    <s v="306 Main St"/>
    <x v="1"/>
    <x v="2"/>
    <s v="TRK25390491"/>
    <n v="1"/>
    <x v="2"/>
    <x v="3"/>
    <n v="223.3"/>
  </r>
  <r>
    <x v="246"/>
    <x v="225"/>
    <x v="246"/>
    <x v="6"/>
    <n v="2"/>
    <n v="342.11"/>
    <s v="164 Main St"/>
    <x v="3"/>
    <x v="0"/>
    <s v="TRK15439493"/>
    <n v="2"/>
    <x v="3"/>
    <x v="0"/>
    <n v="684.22"/>
  </r>
  <r>
    <x v="247"/>
    <x v="145"/>
    <x v="247"/>
    <x v="4"/>
    <n v="2"/>
    <n v="220.9"/>
    <s v="785 Main St"/>
    <x v="3"/>
    <x v="0"/>
    <s v="TRK84984764"/>
    <n v="4"/>
    <x v="2"/>
    <x v="2"/>
    <n v="441.8"/>
  </r>
  <r>
    <x v="248"/>
    <x v="226"/>
    <x v="248"/>
    <x v="5"/>
    <n v="1"/>
    <n v="670.54"/>
    <s v="471 Main St"/>
    <x v="4"/>
    <x v="0"/>
    <s v="TRK62283713"/>
    <n v="6"/>
    <x v="1"/>
    <x v="1"/>
    <n v="670.54"/>
  </r>
  <r>
    <x v="249"/>
    <x v="227"/>
    <x v="249"/>
    <x v="4"/>
    <n v="1"/>
    <n v="546.19000000000005"/>
    <s v="245 Main St"/>
    <x v="4"/>
    <x v="4"/>
    <s v="TRK35464433"/>
    <n v="5"/>
    <x v="1"/>
    <x v="1"/>
    <n v="546.19000000000005"/>
  </r>
  <r>
    <x v="250"/>
    <x v="228"/>
    <x v="250"/>
    <x v="6"/>
    <n v="3"/>
    <n v="42.95"/>
    <s v="318 Main St"/>
    <x v="3"/>
    <x v="2"/>
    <s v="TRK67954150"/>
    <n v="8"/>
    <x v="0"/>
    <x v="2"/>
    <n v="128.85"/>
  </r>
  <r>
    <x v="251"/>
    <x v="229"/>
    <x v="251"/>
    <x v="0"/>
    <n v="4"/>
    <n v="14.69"/>
    <s v="814 Main St"/>
    <x v="4"/>
    <x v="1"/>
    <s v="TRK32995144"/>
    <n v="9"/>
    <x v="2"/>
    <x v="2"/>
    <n v="58.76"/>
  </r>
  <r>
    <x v="252"/>
    <x v="28"/>
    <x v="252"/>
    <x v="1"/>
    <n v="4"/>
    <n v="668.36"/>
    <s v="821 Main St"/>
    <x v="3"/>
    <x v="1"/>
    <s v="TRK51297879"/>
    <n v="5"/>
    <x v="1"/>
    <x v="3"/>
    <n v="2673.44"/>
  </r>
  <r>
    <x v="253"/>
    <x v="230"/>
    <x v="253"/>
    <x v="3"/>
    <n v="4"/>
    <n v="413.74"/>
    <s v="743 Main St"/>
    <x v="3"/>
    <x v="2"/>
    <s v="TRK79471534"/>
    <n v="7"/>
    <x v="1"/>
    <x v="0"/>
    <n v="1654.96"/>
  </r>
  <r>
    <x v="254"/>
    <x v="231"/>
    <x v="254"/>
    <x v="0"/>
    <n v="3"/>
    <n v="263.19"/>
    <s v="770 Main St"/>
    <x v="1"/>
    <x v="3"/>
    <s v="TRK34809583"/>
    <n v="5"/>
    <x v="2"/>
    <x v="0"/>
    <n v="789.56999999999994"/>
  </r>
  <r>
    <x v="255"/>
    <x v="232"/>
    <x v="255"/>
    <x v="0"/>
    <n v="1"/>
    <n v="263.95999999999998"/>
    <s v="806 Main St"/>
    <x v="3"/>
    <x v="2"/>
    <s v="TRK56235117"/>
    <n v="2"/>
    <x v="0"/>
    <x v="4"/>
    <n v="263.95999999999998"/>
  </r>
  <r>
    <x v="256"/>
    <x v="233"/>
    <x v="256"/>
    <x v="3"/>
    <n v="5"/>
    <n v="75.81"/>
    <s v="463 Main St"/>
    <x v="3"/>
    <x v="2"/>
    <s v="TRK22663277"/>
    <n v="10"/>
    <x v="3"/>
    <x v="0"/>
    <n v="379.05"/>
  </r>
  <r>
    <x v="257"/>
    <x v="234"/>
    <x v="257"/>
    <x v="1"/>
    <n v="1"/>
    <n v="406.22"/>
    <s v="712 Main St"/>
    <x v="2"/>
    <x v="1"/>
    <s v="TRK41059233"/>
    <n v="5"/>
    <x v="0"/>
    <x v="1"/>
    <n v="406.22"/>
  </r>
  <r>
    <x v="258"/>
    <x v="235"/>
    <x v="258"/>
    <x v="2"/>
    <n v="2"/>
    <n v="103.41"/>
    <s v="294 Main St"/>
    <x v="1"/>
    <x v="0"/>
    <s v="TRK94082469"/>
    <n v="2"/>
    <x v="1"/>
    <x v="1"/>
    <n v="206.82"/>
  </r>
  <r>
    <x v="259"/>
    <x v="236"/>
    <x v="259"/>
    <x v="3"/>
    <n v="4"/>
    <n v="435.12"/>
    <s v="636 Main St"/>
    <x v="2"/>
    <x v="3"/>
    <s v="TRK54991561"/>
    <n v="9"/>
    <x v="0"/>
    <x v="0"/>
    <n v="1740.48"/>
  </r>
  <r>
    <x v="260"/>
    <x v="209"/>
    <x v="260"/>
    <x v="0"/>
    <n v="2"/>
    <n v="407.79"/>
    <s v="153 Main St"/>
    <x v="0"/>
    <x v="0"/>
    <s v="TRK22000463"/>
    <n v="3"/>
    <x v="2"/>
    <x v="4"/>
    <n v="815.58"/>
  </r>
  <r>
    <x v="261"/>
    <x v="237"/>
    <x v="261"/>
    <x v="1"/>
    <n v="5"/>
    <n v="173.65"/>
    <s v="460 Main St"/>
    <x v="3"/>
    <x v="3"/>
    <s v="TRK25491356"/>
    <n v="9"/>
    <x v="0"/>
    <x v="2"/>
    <n v="868.25"/>
  </r>
  <r>
    <x v="262"/>
    <x v="238"/>
    <x v="262"/>
    <x v="1"/>
    <n v="4"/>
    <n v="249.07"/>
    <s v="642 Main St"/>
    <x v="2"/>
    <x v="2"/>
    <s v="TRK65869386"/>
    <n v="5"/>
    <x v="3"/>
    <x v="1"/>
    <n v="996.28"/>
  </r>
  <r>
    <x v="263"/>
    <x v="239"/>
    <x v="263"/>
    <x v="1"/>
    <n v="4"/>
    <n v="434.85"/>
    <s v="250 Main St"/>
    <x v="2"/>
    <x v="4"/>
    <s v="TRK41397604"/>
    <n v="4"/>
    <x v="3"/>
    <x v="4"/>
    <n v="1739.4"/>
  </r>
  <r>
    <x v="264"/>
    <x v="240"/>
    <x v="264"/>
    <x v="2"/>
    <n v="1"/>
    <n v="436.77"/>
    <s v="977 Main St"/>
    <x v="4"/>
    <x v="2"/>
    <s v="TRK19599578"/>
    <n v="5"/>
    <x v="1"/>
    <x v="4"/>
    <n v="436.77"/>
  </r>
  <r>
    <x v="265"/>
    <x v="241"/>
    <x v="265"/>
    <x v="4"/>
    <n v="1"/>
    <n v="572.13"/>
    <s v="150 Main St"/>
    <x v="0"/>
    <x v="1"/>
    <s v="TRK22298450"/>
    <n v="4"/>
    <x v="0"/>
    <x v="4"/>
    <n v="572.13"/>
  </r>
  <r>
    <x v="266"/>
    <x v="180"/>
    <x v="266"/>
    <x v="3"/>
    <n v="4"/>
    <n v="583.07000000000005"/>
    <s v="589 Main St"/>
    <x v="2"/>
    <x v="1"/>
    <s v="TRK48484633"/>
    <n v="6"/>
    <x v="1"/>
    <x v="1"/>
    <n v="2332.2800000000002"/>
  </r>
  <r>
    <x v="267"/>
    <x v="242"/>
    <x v="267"/>
    <x v="3"/>
    <n v="5"/>
    <n v="468.51"/>
    <s v="803 Main St"/>
    <x v="0"/>
    <x v="3"/>
    <s v="TRK62361867"/>
    <n v="9"/>
    <x v="2"/>
    <x v="3"/>
    <n v="2342.5500000000002"/>
  </r>
  <r>
    <x v="268"/>
    <x v="178"/>
    <x v="268"/>
    <x v="1"/>
    <n v="2"/>
    <n v="423.88"/>
    <s v="655 Main St"/>
    <x v="0"/>
    <x v="3"/>
    <s v="TRK48639226"/>
    <n v="7"/>
    <x v="0"/>
    <x v="1"/>
    <n v="847.76"/>
  </r>
  <r>
    <x v="269"/>
    <x v="97"/>
    <x v="269"/>
    <x v="2"/>
    <n v="4"/>
    <n v="663.67"/>
    <s v="129 Main St"/>
    <x v="2"/>
    <x v="4"/>
    <s v="TRK29355120"/>
    <n v="7"/>
    <x v="1"/>
    <x v="4"/>
    <n v="2654.68"/>
  </r>
  <r>
    <x v="270"/>
    <x v="243"/>
    <x v="270"/>
    <x v="4"/>
    <n v="4"/>
    <n v="309.91000000000003"/>
    <s v="127 Main St"/>
    <x v="0"/>
    <x v="0"/>
    <s v="TRK81087373"/>
    <n v="5"/>
    <x v="3"/>
    <x v="4"/>
    <n v="1239.6400000000001"/>
  </r>
  <r>
    <x v="271"/>
    <x v="125"/>
    <x v="271"/>
    <x v="0"/>
    <n v="1"/>
    <n v="542.07000000000005"/>
    <s v="791 Main St"/>
    <x v="4"/>
    <x v="0"/>
    <s v="TRK16792991"/>
    <n v="6"/>
    <x v="3"/>
    <x v="1"/>
    <n v="542.07000000000005"/>
  </r>
  <r>
    <x v="272"/>
    <x v="244"/>
    <x v="272"/>
    <x v="3"/>
    <n v="2"/>
    <n v="399.32"/>
    <s v="119 Main St"/>
    <x v="1"/>
    <x v="4"/>
    <s v="TRK12990043"/>
    <n v="6"/>
    <x v="3"/>
    <x v="0"/>
    <n v="798.64"/>
  </r>
  <r>
    <x v="273"/>
    <x v="245"/>
    <x v="273"/>
    <x v="2"/>
    <n v="2"/>
    <n v="238.25"/>
    <s v="974 Main St"/>
    <x v="1"/>
    <x v="1"/>
    <s v="TRK91195261"/>
    <n v="7"/>
    <x v="1"/>
    <x v="2"/>
    <n v="476.5"/>
  </r>
  <r>
    <x v="274"/>
    <x v="246"/>
    <x v="274"/>
    <x v="1"/>
    <n v="2"/>
    <n v="182.4"/>
    <s v="884 Main St"/>
    <x v="3"/>
    <x v="1"/>
    <s v="TRK65300814"/>
    <n v="5"/>
    <x v="0"/>
    <x v="1"/>
    <n v="364.8"/>
  </r>
  <r>
    <x v="275"/>
    <x v="247"/>
    <x v="275"/>
    <x v="3"/>
    <n v="2"/>
    <n v="65.069999999999993"/>
    <s v="360 Main St"/>
    <x v="2"/>
    <x v="1"/>
    <s v="TRK99880231"/>
    <n v="4"/>
    <x v="0"/>
    <x v="4"/>
    <n v="130.13999999999999"/>
  </r>
  <r>
    <x v="276"/>
    <x v="248"/>
    <x v="276"/>
    <x v="4"/>
    <n v="2"/>
    <n v="600.57000000000005"/>
    <s v="654 Main St"/>
    <x v="0"/>
    <x v="2"/>
    <s v="TRK56927089"/>
    <n v="3"/>
    <x v="3"/>
    <x v="0"/>
    <n v="1201.1400000000001"/>
  </r>
  <r>
    <x v="277"/>
    <x v="82"/>
    <x v="277"/>
    <x v="3"/>
    <n v="5"/>
    <n v="90.92"/>
    <s v="910 Main St"/>
    <x v="2"/>
    <x v="3"/>
    <s v="TRK44929965"/>
    <n v="9"/>
    <x v="0"/>
    <x v="3"/>
    <n v="454.6"/>
  </r>
  <r>
    <x v="278"/>
    <x v="249"/>
    <x v="278"/>
    <x v="5"/>
    <n v="5"/>
    <n v="362.46"/>
    <s v="299 Main St"/>
    <x v="4"/>
    <x v="3"/>
    <s v="TRK46598430"/>
    <n v="6"/>
    <x v="1"/>
    <x v="0"/>
    <n v="1812.3"/>
  </r>
  <r>
    <x v="279"/>
    <x v="250"/>
    <x v="279"/>
    <x v="3"/>
    <n v="3"/>
    <n v="55.01"/>
    <s v="263 Main St"/>
    <x v="1"/>
    <x v="4"/>
    <s v="TRK12425655"/>
    <n v="7"/>
    <x v="3"/>
    <x v="2"/>
    <n v="165.03"/>
  </r>
  <r>
    <x v="280"/>
    <x v="14"/>
    <x v="280"/>
    <x v="2"/>
    <n v="3"/>
    <n v="404.62"/>
    <s v="740 Main St"/>
    <x v="3"/>
    <x v="3"/>
    <s v="TRK75741001"/>
    <n v="6"/>
    <x v="1"/>
    <x v="0"/>
    <n v="1213.8599999999999"/>
  </r>
  <r>
    <x v="281"/>
    <x v="152"/>
    <x v="281"/>
    <x v="6"/>
    <n v="4"/>
    <n v="654.79"/>
    <s v="195 Main St"/>
    <x v="4"/>
    <x v="4"/>
    <s v="TRK60093390"/>
    <n v="9"/>
    <x v="2"/>
    <x v="1"/>
    <n v="2619.16"/>
  </r>
  <r>
    <x v="282"/>
    <x v="251"/>
    <x v="282"/>
    <x v="4"/>
    <n v="4"/>
    <n v="637.79"/>
    <s v="375 Main St"/>
    <x v="3"/>
    <x v="1"/>
    <s v="TRK71810536"/>
    <n v="9"/>
    <x v="1"/>
    <x v="4"/>
    <n v="2551.16"/>
  </r>
  <r>
    <x v="283"/>
    <x v="252"/>
    <x v="283"/>
    <x v="5"/>
    <n v="4"/>
    <n v="540.33000000000004"/>
    <s v="990 Main St"/>
    <x v="4"/>
    <x v="0"/>
    <s v="TRK69745608"/>
    <n v="6"/>
    <x v="2"/>
    <x v="4"/>
    <n v="2161.3200000000002"/>
  </r>
  <r>
    <x v="284"/>
    <x v="223"/>
    <x v="284"/>
    <x v="5"/>
    <n v="5"/>
    <n v="208.17"/>
    <s v="516 Main St"/>
    <x v="2"/>
    <x v="2"/>
    <s v="TRK22023906"/>
    <n v="6"/>
    <x v="0"/>
    <x v="3"/>
    <n v="1040.8499999999999"/>
  </r>
  <r>
    <x v="285"/>
    <x v="69"/>
    <x v="285"/>
    <x v="1"/>
    <n v="1"/>
    <n v="338.31"/>
    <s v="974 Main St"/>
    <x v="1"/>
    <x v="3"/>
    <s v="TRK93281700"/>
    <n v="3"/>
    <x v="2"/>
    <x v="4"/>
    <n v="338.31"/>
  </r>
  <r>
    <x v="286"/>
    <x v="253"/>
    <x v="286"/>
    <x v="0"/>
    <n v="3"/>
    <n v="139.44999999999999"/>
    <s v="187 Main St"/>
    <x v="3"/>
    <x v="2"/>
    <s v="TRK61086952"/>
    <n v="8"/>
    <x v="3"/>
    <x v="4"/>
    <n v="418.35"/>
  </r>
  <r>
    <x v="287"/>
    <x v="254"/>
    <x v="287"/>
    <x v="3"/>
    <n v="4"/>
    <n v="655.17999999999995"/>
    <s v="630 Main St"/>
    <x v="1"/>
    <x v="0"/>
    <s v="TRK26628830"/>
    <n v="5"/>
    <x v="2"/>
    <x v="3"/>
    <n v="2620.7199999999998"/>
  </r>
  <r>
    <x v="288"/>
    <x v="255"/>
    <x v="288"/>
    <x v="5"/>
    <n v="4"/>
    <n v="512.75"/>
    <s v="537 Main St"/>
    <x v="0"/>
    <x v="2"/>
    <s v="TRK60831391"/>
    <n v="8"/>
    <x v="3"/>
    <x v="4"/>
    <n v="2051"/>
  </r>
  <r>
    <x v="289"/>
    <x v="256"/>
    <x v="289"/>
    <x v="3"/>
    <n v="4"/>
    <n v="160.49"/>
    <s v="333 Main St"/>
    <x v="2"/>
    <x v="0"/>
    <s v="TRK55362541"/>
    <n v="8"/>
    <x v="3"/>
    <x v="1"/>
    <n v="641.96"/>
  </r>
  <r>
    <x v="290"/>
    <x v="257"/>
    <x v="290"/>
    <x v="3"/>
    <n v="3"/>
    <n v="99.9"/>
    <s v="258 Main St"/>
    <x v="4"/>
    <x v="3"/>
    <s v="TRK14029489"/>
    <n v="8"/>
    <x v="1"/>
    <x v="3"/>
    <n v="299.7"/>
  </r>
  <r>
    <x v="291"/>
    <x v="258"/>
    <x v="291"/>
    <x v="1"/>
    <n v="2"/>
    <n v="345.01"/>
    <s v="670 Main St"/>
    <x v="2"/>
    <x v="3"/>
    <s v="TRK93676567"/>
    <n v="6"/>
    <x v="1"/>
    <x v="4"/>
    <n v="690.02"/>
  </r>
  <r>
    <x v="292"/>
    <x v="259"/>
    <x v="292"/>
    <x v="0"/>
    <n v="1"/>
    <n v="65.95"/>
    <s v="185 Main St"/>
    <x v="2"/>
    <x v="3"/>
    <s v="TRK31042152"/>
    <n v="5"/>
    <x v="2"/>
    <x v="3"/>
    <n v="65.95"/>
  </r>
  <r>
    <x v="293"/>
    <x v="223"/>
    <x v="293"/>
    <x v="2"/>
    <n v="4"/>
    <n v="463.04"/>
    <s v="564 Main St"/>
    <x v="3"/>
    <x v="2"/>
    <s v="TRK40450219"/>
    <n v="9"/>
    <x v="2"/>
    <x v="0"/>
    <n v="1852.16"/>
  </r>
  <r>
    <x v="294"/>
    <x v="260"/>
    <x v="294"/>
    <x v="1"/>
    <n v="2"/>
    <n v="297.70999999999998"/>
    <s v="208 Main St"/>
    <x v="1"/>
    <x v="0"/>
    <s v="TRK67562517"/>
    <n v="7"/>
    <x v="0"/>
    <x v="1"/>
    <n v="595.41999999999996"/>
  </r>
  <r>
    <x v="295"/>
    <x v="261"/>
    <x v="295"/>
    <x v="4"/>
    <n v="5"/>
    <n v="107.48"/>
    <s v="278 Main St"/>
    <x v="0"/>
    <x v="1"/>
    <s v="TRK46285799"/>
    <n v="9"/>
    <x v="1"/>
    <x v="2"/>
    <n v="537.4"/>
  </r>
  <r>
    <x v="296"/>
    <x v="83"/>
    <x v="296"/>
    <x v="6"/>
    <n v="5"/>
    <n v="638.79999999999995"/>
    <s v="434 Main St"/>
    <x v="0"/>
    <x v="1"/>
    <s v="TRK52110494"/>
    <n v="10"/>
    <x v="3"/>
    <x v="1"/>
    <n v="3194"/>
  </r>
  <r>
    <x v="297"/>
    <x v="262"/>
    <x v="297"/>
    <x v="6"/>
    <n v="2"/>
    <n v="493.88"/>
    <s v="252 Main St"/>
    <x v="2"/>
    <x v="2"/>
    <s v="TRK64862812"/>
    <n v="7"/>
    <x v="0"/>
    <x v="0"/>
    <n v="987.76"/>
  </r>
  <r>
    <x v="298"/>
    <x v="263"/>
    <x v="298"/>
    <x v="4"/>
    <n v="4"/>
    <n v="301.17"/>
    <s v="267 Main St"/>
    <x v="1"/>
    <x v="1"/>
    <s v="TRK97825212"/>
    <n v="6"/>
    <x v="2"/>
    <x v="2"/>
    <n v="1204.68"/>
  </r>
  <r>
    <x v="299"/>
    <x v="264"/>
    <x v="299"/>
    <x v="0"/>
    <n v="1"/>
    <n v="278.66000000000003"/>
    <s v="856 Main St"/>
    <x v="3"/>
    <x v="1"/>
    <s v="TRK42696593"/>
    <n v="2"/>
    <x v="1"/>
    <x v="0"/>
    <n v="278.66000000000003"/>
  </r>
  <r>
    <x v="300"/>
    <x v="265"/>
    <x v="300"/>
    <x v="1"/>
    <n v="1"/>
    <n v="287.45999999999998"/>
    <s v="894 Main St"/>
    <x v="0"/>
    <x v="2"/>
    <s v="TRK33753945"/>
    <n v="3"/>
    <x v="1"/>
    <x v="3"/>
    <n v="287.45999999999998"/>
  </r>
  <r>
    <x v="301"/>
    <x v="67"/>
    <x v="301"/>
    <x v="3"/>
    <n v="1"/>
    <n v="583.99"/>
    <s v="726 Main St"/>
    <x v="4"/>
    <x v="1"/>
    <s v="TRK40149095"/>
    <n v="2"/>
    <x v="0"/>
    <x v="2"/>
    <n v="583.99"/>
  </r>
  <r>
    <x v="302"/>
    <x v="220"/>
    <x v="302"/>
    <x v="3"/>
    <n v="3"/>
    <n v="468.74"/>
    <s v="121 Main St"/>
    <x v="4"/>
    <x v="4"/>
    <s v="TRK44142517"/>
    <n v="4"/>
    <x v="1"/>
    <x v="0"/>
    <n v="1406.22"/>
  </r>
  <r>
    <x v="303"/>
    <x v="34"/>
    <x v="303"/>
    <x v="2"/>
    <n v="1"/>
    <n v="30.54"/>
    <s v="368 Main St"/>
    <x v="0"/>
    <x v="2"/>
    <s v="TRK95462192"/>
    <n v="1"/>
    <x v="2"/>
    <x v="4"/>
    <n v="30.54"/>
  </r>
  <r>
    <x v="304"/>
    <x v="266"/>
    <x v="304"/>
    <x v="0"/>
    <n v="5"/>
    <n v="408.73"/>
    <s v="326 Main St"/>
    <x v="3"/>
    <x v="3"/>
    <s v="TRK75686292"/>
    <n v="10"/>
    <x v="1"/>
    <x v="0"/>
    <n v="2043.65"/>
  </r>
  <r>
    <x v="305"/>
    <x v="97"/>
    <x v="305"/>
    <x v="5"/>
    <n v="4"/>
    <n v="126.89"/>
    <s v="235 Main St"/>
    <x v="4"/>
    <x v="4"/>
    <s v="TRK59353216"/>
    <n v="9"/>
    <x v="1"/>
    <x v="0"/>
    <n v="507.56"/>
  </r>
  <r>
    <x v="306"/>
    <x v="267"/>
    <x v="306"/>
    <x v="4"/>
    <n v="2"/>
    <n v="57.07"/>
    <s v="238 Main St"/>
    <x v="0"/>
    <x v="2"/>
    <s v="TRK65511225"/>
    <n v="3"/>
    <x v="0"/>
    <x v="0"/>
    <n v="114.14"/>
  </r>
  <r>
    <x v="307"/>
    <x v="268"/>
    <x v="307"/>
    <x v="5"/>
    <n v="3"/>
    <n v="557.41"/>
    <s v="135 Main St"/>
    <x v="1"/>
    <x v="3"/>
    <s v="TRK11755610"/>
    <n v="4"/>
    <x v="2"/>
    <x v="2"/>
    <n v="1672.23"/>
  </r>
  <r>
    <x v="308"/>
    <x v="66"/>
    <x v="308"/>
    <x v="4"/>
    <n v="3"/>
    <n v="448.9"/>
    <s v="790 Main St"/>
    <x v="0"/>
    <x v="2"/>
    <s v="TRK98467398"/>
    <n v="7"/>
    <x v="0"/>
    <x v="0"/>
    <n v="1346.7"/>
  </r>
  <r>
    <x v="309"/>
    <x v="269"/>
    <x v="309"/>
    <x v="3"/>
    <n v="4"/>
    <n v="549.76"/>
    <s v="625 Main St"/>
    <x v="0"/>
    <x v="3"/>
    <s v="TRK38033305"/>
    <n v="4"/>
    <x v="1"/>
    <x v="3"/>
    <n v="2199.04"/>
  </r>
  <r>
    <x v="310"/>
    <x v="270"/>
    <x v="310"/>
    <x v="4"/>
    <n v="3"/>
    <n v="132.47999999999999"/>
    <s v="968 Main St"/>
    <x v="1"/>
    <x v="0"/>
    <s v="TRK16094218"/>
    <n v="4"/>
    <x v="2"/>
    <x v="1"/>
    <n v="397.43999999999988"/>
  </r>
  <r>
    <x v="311"/>
    <x v="271"/>
    <x v="311"/>
    <x v="6"/>
    <n v="5"/>
    <n v="489.37"/>
    <s v="274 Main St"/>
    <x v="1"/>
    <x v="2"/>
    <s v="TRK34786818"/>
    <n v="8"/>
    <x v="2"/>
    <x v="0"/>
    <n v="2446.85"/>
  </r>
  <r>
    <x v="312"/>
    <x v="272"/>
    <x v="312"/>
    <x v="4"/>
    <n v="5"/>
    <n v="66.31"/>
    <s v="579 Main St"/>
    <x v="3"/>
    <x v="4"/>
    <s v="TRK64742535"/>
    <n v="7"/>
    <x v="1"/>
    <x v="1"/>
    <n v="331.55"/>
  </r>
  <r>
    <x v="313"/>
    <x v="273"/>
    <x v="313"/>
    <x v="3"/>
    <n v="2"/>
    <n v="434.3"/>
    <s v="978 Main St"/>
    <x v="4"/>
    <x v="3"/>
    <s v="TRK22838735"/>
    <n v="7"/>
    <x v="0"/>
    <x v="0"/>
    <n v="868.6"/>
  </r>
  <r>
    <x v="314"/>
    <x v="274"/>
    <x v="314"/>
    <x v="6"/>
    <n v="4"/>
    <n v="153.09"/>
    <s v="540 Main St"/>
    <x v="1"/>
    <x v="3"/>
    <s v="TRK48712417"/>
    <n v="4"/>
    <x v="1"/>
    <x v="1"/>
    <n v="612.36"/>
  </r>
  <r>
    <x v="315"/>
    <x v="275"/>
    <x v="315"/>
    <x v="2"/>
    <n v="5"/>
    <n v="91.67"/>
    <s v="301 Main St"/>
    <x v="1"/>
    <x v="1"/>
    <s v="TRK45507090"/>
    <n v="9"/>
    <x v="1"/>
    <x v="2"/>
    <n v="458.35"/>
  </r>
  <r>
    <x v="316"/>
    <x v="276"/>
    <x v="316"/>
    <x v="6"/>
    <n v="4"/>
    <n v="275.27999999999997"/>
    <s v="101 Main St"/>
    <x v="3"/>
    <x v="0"/>
    <s v="TRK86474559"/>
    <n v="9"/>
    <x v="3"/>
    <x v="3"/>
    <n v="1101.1199999999999"/>
  </r>
  <r>
    <x v="317"/>
    <x v="132"/>
    <x v="317"/>
    <x v="0"/>
    <n v="2"/>
    <n v="139.94999999999999"/>
    <s v="339 Main St"/>
    <x v="1"/>
    <x v="2"/>
    <s v="TRK22575151"/>
    <n v="5"/>
    <x v="2"/>
    <x v="0"/>
    <n v="279.89999999999998"/>
  </r>
  <r>
    <x v="318"/>
    <x v="277"/>
    <x v="318"/>
    <x v="3"/>
    <n v="3"/>
    <n v="148.72"/>
    <s v="317 Main St"/>
    <x v="0"/>
    <x v="1"/>
    <s v="TRK95706967"/>
    <n v="7"/>
    <x v="0"/>
    <x v="4"/>
    <n v="446.16"/>
  </r>
  <r>
    <x v="319"/>
    <x v="278"/>
    <x v="319"/>
    <x v="5"/>
    <n v="2"/>
    <n v="563.05999999999995"/>
    <s v="413 Main St"/>
    <x v="4"/>
    <x v="2"/>
    <s v="TRK48974907"/>
    <n v="6"/>
    <x v="2"/>
    <x v="0"/>
    <n v="1126.1199999999999"/>
  </r>
  <r>
    <x v="320"/>
    <x v="36"/>
    <x v="320"/>
    <x v="4"/>
    <n v="1"/>
    <n v="625.51"/>
    <s v="772 Main St"/>
    <x v="2"/>
    <x v="0"/>
    <s v="TRK48792951"/>
    <n v="1"/>
    <x v="1"/>
    <x v="3"/>
    <n v="625.51"/>
  </r>
  <r>
    <x v="321"/>
    <x v="279"/>
    <x v="321"/>
    <x v="1"/>
    <n v="4"/>
    <n v="152.29"/>
    <s v="135 Main St"/>
    <x v="0"/>
    <x v="1"/>
    <s v="TRK44194358"/>
    <n v="6"/>
    <x v="3"/>
    <x v="4"/>
    <n v="609.16"/>
  </r>
  <r>
    <x v="322"/>
    <x v="280"/>
    <x v="322"/>
    <x v="1"/>
    <n v="5"/>
    <n v="231.82"/>
    <s v="339 Main St"/>
    <x v="0"/>
    <x v="3"/>
    <s v="TRK18233748"/>
    <n v="6"/>
    <x v="0"/>
    <x v="3"/>
    <n v="1159.0999999999999"/>
  </r>
  <r>
    <x v="323"/>
    <x v="281"/>
    <x v="323"/>
    <x v="5"/>
    <n v="1"/>
    <n v="150.16999999999999"/>
    <s v="414 Main St"/>
    <x v="0"/>
    <x v="2"/>
    <s v="TRK63820842"/>
    <n v="1"/>
    <x v="0"/>
    <x v="1"/>
    <n v="150.16999999999999"/>
  </r>
  <r>
    <x v="324"/>
    <x v="136"/>
    <x v="324"/>
    <x v="2"/>
    <n v="3"/>
    <n v="70.930000000000007"/>
    <s v="847 Main St"/>
    <x v="0"/>
    <x v="2"/>
    <s v="TRK70193221"/>
    <n v="5"/>
    <x v="2"/>
    <x v="1"/>
    <n v="212.79"/>
  </r>
  <r>
    <x v="325"/>
    <x v="282"/>
    <x v="325"/>
    <x v="6"/>
    <n v="3"/>
    <n v="361.39"/>
    <s v="665 Main St"/>
    <x v="2"/>
    <x v="0"/>
    <s v="TRK61123177"/>
    <n v="8"/>
    <x v="2"/>
    <x v="1"/>
    <n v="1084.17"/>
  </r>
  <r>
    <x v="326"/>
    <x v="283"/>
    <x v="326"/>
    <x v="5"/>
    <n v="5"/>
    <n v="670.48"/>
    <s v="273 Main St"/>
    <x v="3"/>
    <x v="2"/>
    <s v="TRK98353867"/>
    <n v="5"/>
    <x v="0"/>
    <x v="3"/>
    <n v="3352.4"/>
  </r>
  <r>
    <x v="327"/>
    <x v="284"/>
    <x v="327"/>
    <x v="1"/>
    <n v="1"/>
    <n v="359.99"/>
    <s v="385 Main St"/>
    <x v="3"/>
    <x v="1"/>
    <s v="TRK43940016"/>
    <n v="5"/>
    <x v="0"/>
    <x v="2"/>
    <n v="359.99"/>
  </r>
  <r>
    <x v="328"/>
    <x v="285"/>
    <x v="328"/>
    <x v="2"/>
    <n v="5"/>
    <n v="674.04"/>
    <s v="546 Main St"/>
    <x v="1"/>
    <x v="1"/>
    <s v="TRK89401624"/>
    <n v="7"/>
    <x v="0"/>
    <x v="4"/>
    <n v="3370.2"/>
  </r>
  <r>
    <x v="329"/>
    <x v="286"/>
    <x v="329"/>
    <x v="3"/>
    <n v="4"/>
    <n v="283.16000000000003"/>
    <s v="306 Main St"/>
    <x v="2"/>
    <x v="0"/>
    <s v="TRK63224811"/>
    <n v="6"/>
    <x v="2"/>
    <x v="4"/>
    <n v="1132.6400000000001"/>
  </r>
  <r>
    <x v="330"/>
    <x v="287"/>
    <x v="330"/>
    <x v="6"/>
    <n v="5"/>
    <n v="260.52999999999997"/>
    <s v="532 Main St"/>
    <x v="3"/>
    <x v="4"/>
    <s v="TRK54059198"/>
    <n v="5"/>
    <x v="0"/>
    <x v="0"/>
    <n v="1302.6500000000001"/>
  </r>
  <r>
    <x v="331"/>
    <x v="288"/>
    <x v="331"/>
    <x v="4"/>
    <n v="3"/>
    <n v="422.13"/>
    <s v="187 Main St"/>
    <x v="1"/>
    <x v="3"/>
    <s v="TRK25703134"/>
    <n v="7"/>
    <x v="0"/>
    <x v="3"/>
    <n v="1266.3900000000001"/>
  </r>
  <r>
    <x v="332"/>
    <x v="289"/>
    <x v="332"/>
    <x v="6"/>
    <n v="5"/>
    <n v="125.02"/>
    <s v="607 Main St"/>
    <x v="0"/>
    <x v="4"/>
    <s v="TRK67499316"/>
    <n v="9"/>
    <x v="0"/>
    <x v="4"/>
    <n v="625.1"/>
  </r>
  <r>
    <x v="333"/>
    <x v="162"/>
    <x v="333"/>
    <x v="1"/>
    <n v="1"/>
    <n v="198.51"/>
    <s v="818 Main St"/>
    <x v="2"/>
    <x v="2"/>
    <s v="TRK52086740"/>
    <n v="5"/>
    <x v="3"/>
    <x v="0"/>
    <n v="198.51"/>
  </r>
  <r>
    <x v="334"/>
    <x v="290"/>
    <x v="334"/>
    <x v="3"/>
    <n v="4"/>
    <n v="224.75"/>
    <s v="728 Main St"/>
    <x v="1"/>
    <x v="3"/>
    <s v="TRK20635777"/>
    <n v="7"/>
    <x v="3"/>
    <x v="3"/>
    <n v="899"/>
  </r>
  <r>
    <x v="335"/>
    <x v="291"/>
    <x v="335"/>
    <x v="2"/>
    <n v="3"/>
    <n v="205.86"/>
    <s v="978 Main St"/>
    <x v="3"/>
    <x v="0"/>
    <s v="TRK34801199"/>
    <n v="4"/>
    <x v="2"/>
    <x v="2"/>
    <n v="617.58000000000004"/>
  </r>
  <r>
    <x v="336"/>
    <x v="10"/>
    <x v="336"/>
    <x v="5"/>
    <n v="1"/>
    <n v="18.2"/>
    <s v="441 Main St"/>
    <x v="0"/>
    <x v="4"/>
    <s v="TRK10143345"/>
    <n v="4"/>
    <x v="0"/>
    <x v="0"/>
    <n v="18.2"/>
  </r>
  <r>
    <x v="337"/>
    <x v="292"/>
    <x v="337"/>
    <x v="2"/>
    <n v="3"/>
    <n v="502.77"/>
    <s v="599 Main St"/>
    <x v="0"/>
    <x v="2"/>
    <s v="TRK66980447"/>
    <n v="8"/>
    <x v="3"/>
    <x v="2"/>
    <n v="1508.31"/>
  </r>
  <r>
    <x v="338"/>
    <x v="293"/>
    <x v="338"/>
    <x v="1"/>
    <n v="5"/>
    <n v="305.49"/>
    <s v="704 Main St"/>
    <x v="0"/>
    <x v="0"/>
    <s v="TRK64112352"/>
    <n v="10"/>
    <x v="2"/>
    <x v="1"/>
    <n v="1527.45"/>
  </r>
  <r>
    <x v="339"/>
    <x v="294"/>
    <x v="339"/>
    <x v="4"/>
    <n v="2"/>
    <n v="236.33"/>
    <s v="398 Main St"/>
    <x v="1"/>
    <x v="4"/>
    <s v="TRK62422797"/>
    <n v="3"/>
    <x v="0"/>
    <x v="0"/>
    <n v="472.66"/>
  </r>
  <r>
    <x v="340"/>
    <x v="295"/>
    <x v="340"/>
    <x v="5"/>
    <n v="5"/>
    <n v="521.25"/>
    <s v="826 Main St"/>
    <x v="4"/>
    <x v="1"/>
    <s v="TRK25569378"/>
    <n v="8"/>
    <x v="2"/>
    <x v="2"/>
    <n v="2606.25"/>
  </r>
  <r>
    <x v="341"/>
    <x v="296"/>
    <x v="341"/>
    <x v="2"/>
    <n v="1"/>
    <n v="167.15"/>
    <s v="293 Main St"/>
    <x v="3"/>
    <x v="0"/>
    <s v="TRK61357272"/>
    <n v="5"/>
    <x v="3"/>
    <x v="2"/>
    <n v="167.15"/>
  </r>
  <r>
    <x v="342"/>
    <x v="53"/>
    <x v="342"/>
    <x v="0"/>
    <n v="5"/>
    <n v="466.42"/>
    <s v="619 Main St"/>
    <x v="3"/>
    <x v="2"/>
    <s v="TRK95935805"/>
    <n v="5"/>
    <x v="2"/>
    <x v="1"/>
    <n v="2332.1"/>
  </r>
  <r>
    <x v="343"/>
    <x v="297"/>
    <x v="343"/>
    <x v="4"/>
    <n v="1"/>
    <n v="527.57000000000005"/>
    <s v="919 Main St"/>
    <x v="0"/>
    <x v="4"/>
    <s v="TRK64087938"/>
    <n v="3"/>
    <x v="1"/>
    <x v="3"/>
    <n v="527.57000000000005"/>
  </r>
  <r>
    <x v="344"/>
    <x v="298"/>
    <x v="344"/>
    <x v="2"/>
    <n v="3"/>
    <n v="623.34"/>
    <s v="248 Main St"/>
    <x v="1"/>
    <x v="1"/>
    <s v="TRK67558189"/>
    <n v="3"/>
    <x v="0"/>
    <x v="0"/>
    <n v="1870.02"/>
  </r>
  <r>
    <x v="345"/>
    <x v="173"/>
    <x v="345"/>
    <x v="2"/>
    <n v="5"/>
    <n v="501.26"/>
    <s v="259 Main St"/>
    <x v="3"/>
    <x v="0"/>
    <s v="TRK37285406"/>
    <n v="10"/>
    <x v="1"/>
    <x v="1"/>
    <n v="2506.3000000000002"/>
  </r>
  <r>
    <x v="346"/>
    <x v="299"/>
    <x v="346"/>
    <x v="2"/>
    <n v="1"/>
    <n v="655.09"/>
    <s v="876 Main St"/>
    <x v="4"/>
    <x v="4"/>
    <s v="TRK44680433"/>
    <n v="6"/>
    <x v="2"/>
    <x v="1"/>
    <n v="655.09"/>
  </r>
  <r>
    <x v="347"/>
    <x v="300"/>
    <x v="347"/>
    <x v="4"/>
    <n v="4"/>
    <n v="264.79000000000002"/>
    <s v="380 Main St"/>
    <x v="2"/>
    <x v="4"/>
    <s v="TRK21109187"/>
    <n v="5"/>
    <x v="0"/>
    <x v="4"/>
    <n v="1059.1600000000001"/>
  </r>
  <r>
    <x v="348"/>
    <x v="206"/>
    <x v="348"/>
    <x v="5"/>
    <n v="3"/>
    <n v="359.73"/>
    <s v="885 Main St"/>
    <x v="0"/>
    <x v="2"/>
    <s v="TRK72633998"/>
    <n v="7"/>
    <x v="1"/>
    <x v="2"/>
    <n v="1079.19"/>
  </r>
  <r>
    <x v="349"/>
    <x v="115"/>
    <x v="349"/>
    <x v="3"/>
    <n v="1"/>
    <n v="465.33"/>
    <s v="824 Main St"/>
    <x v="3"/>
    <x v="3"/>
    <s v="TRK56016905"/>
    <n v="2"/>
    <x v="1"/>
    <x v="4"/>
    <n v="465.33"/>
  </r>
  <r>
    <x v="350"/>
    <x v="301"/>
    <x v="350"/>
    <x v="3"/>
    <n v="2"/>
    <n v="54.41"/>
    <s v="495 Main St"/>
    <x v="1"/>
    <x v="0"/>
    <s v="TRK60127216"/>
    <n v="6"/>
    <x v="2"/>
    <x v="0"/>
    <n v="108.82"/>
  </r>
  <r>
    <x v="351"/>
    <x v="302"/>
    <x v="351"/>
    <x v="5"/>
    <n v="1"/>
    <n v="64.66"/>
    <s v="494 Main St"/>
    <x v="0"/>
    <x v="3"/>
    <s v="TRK89406816"/>
    <n v="4"/>
    <x v="2"/>
    <x v="0"/>
    <n v="64.66"/>
  </r>
  <r>
    <x v="352"/>
    <x v="303"/>
    <x v="352"/>
    <x v="3"/>
    <n v="5"/>
    <n v="173.96"/>
    <s v="995 Main St"/>
    <x v="0"/>
    <x v="4"/>
    <s v="TRK59546992"/>
    <n v="8"/>
    <x v="3"/>
    <x v="0"/>
    <n v="869.80000000000007"/>
  </r>
  <r>
    <x v="353"/>
    <x v="210"/>
    <x v="353"/>
    <x v="2"/>
    <n v="1"/>
    <n v="630.82000000000005"/>
    <s v="171 Main St"/>
    <x v="1"/>
    <x v="3"/>
    <s v="TRK15195225"/>
    <n v="5"/>
    <x v="1"/>
    <x v="4"/>
    <n v="630.82000000000005"/>
  </r>
  <r>
    <x v="354"/>
    <x v="304"/>
    <x v="354"/>
    <x v="1"/>
    <n v="1"/>
    <n v="693.41"/>
    <s v="992 Main St"/>
    <x v="0"/>
    <x v="0"/>
    <s v="TRK11970357"/>
    <n v="4"/>
    <x v="2"/>
    <x v="0"/>
    <n v="693.41"/>
  </r>
  <r>
    <x v="355"/>
    <x v="305"/>
    <x v="355"/>
    <x v="2"/>
    <n v="3"/>
    <n v="433.33"/>
    <s v="677 Main St"/>
    <x v="2"/>
    <x v="1"/>
    <s v="TRK78766533"/>
    <n v="4"/>
    <x v="1"/>
    <x v="1"/>
    <n v="1299.99"/>
  </r>
  <r>
    <x v="356"/>
    <x v="306"/>
    <x v="356"/>
    <x v="4"/>
    <n v="5"/>
    <n v="374.58"/>
    <s v="907 Main St"/>
    <x v="3"/>
    <x v="1"/>
    <s v="TRK83889574"/>
    <n v="10"/>
    <x v="1"/>
    <x v="0"/>
    <n v="1872.9"/>
  </r>
  <r>
    <x v="357"/>
    <x v="307"/>
    <x v="357"/>
    <x v="5"/>
    <n v="5"/>
    <n v="408.56"/>
    <s v="398 Main St"/>
    <x v="0"/>
    <x v="3"/>
    <s v="TRK98700702"/>
    <n v="8"/>
    <x v="1"/>
    <x v="0"/>
    <n v="2042.8"/>
  </r>
  <r>
    <x v="358"/>
    <x v="158"/>
    <x v="358"/>
    <x v="2"/>
    <n v="2"/>
    <n v="183.67"/>
    <s v="747 Main St"/>
    <x v="1"/>
    <x v="1"/>
    <s v="TRK82540521"/>
    <n v="3"/>
    <x v="0"/>
    <x v="4"/>
    <n v="367.34"/>
  </r>
  <r>
    <x v="359"/>
    <x v="308"/>
    <x v="359"/>
    <x v="6"/>
    <n v="4"/>
    <n v="606.57000000000005"/>
    <s v="303 Main St"/>
    <x v="0"/>
    <x v="3"/>
    <s v="TRK23286689"/>
    <n v="5"/>
    <x v="3"/>
    <x v="1"/>
    <n v="2426.2800000000002"/>
  </r>
  <r>
    <x v="360"/>
    <x v="309"/>
    <x v="360"/>
    <x v="1"/>
    <n v="4"/>
    <n v="589.57000000000005"/>
    <s v="779 Main St"/>
    <x v="4"/>
    <x v="4"/>
    <s v="TRK34630612"/>
    <n v="8"/>
    <x v="2"/>
    <x v="0"/>
    <n v="2358.2800000000002"/>
  </r>
  <r>
    <x v="361"/>
    <x v="310"/>
    <x v="361"/>
    <x v="4"/>
    <n v="5"/>
    <n v="659.85"/>
    <s v="197 Main St"/>
    <x v="2"/>
    <x v="3"/>
    <s v="TRK32743531"/>
    <n v="9"/>
    <x v="0"/>
    <x v="3"/>
    <n v="3299.25"/>
  </r>
  <r>
    <x v="362"/>
    <x v="78"/>
    <x v="362"/>
    <x v="0"/>
    <n v="4"/>
    <n v="206.84"/>
    <s v="312 Main St"/>
    <x v="4"/>
    <x v="1"/>
    <s v="TRK60476656"/>
    <n v="5"/>
    <x v="3"/>
    <x v="0"/>
    <n v="827.36"/>
  </r>
  <r>
    <x v="363"/>
    <x v="75"/>
    <x v="363"/>
    <x v="5"/>
    <n v="5"/>
    <n v="113.87"/>
    <s v="871 Main St"/>
    <x v="2"/>
    <x v="4"/>
    <s v="TRK42584392"/>
    <n v="6"/>
    <x v="0"/>
    <x v="2"/>
    <n v="569.35"/>
  </r>
  <r>
    <x v="364"/>
    <x v="254"/>
    <x v="364"/>
    <x v="1"/>
    <n v="5"/>
    <n v="628.74"/>
    <s v="740 Main St"/>
    <x v="4"/>
    <x v="1"/>
    <s v="TRK86767206"/>
    <n v="9"/>
    <x v="1"/>
    <x v="3"/>
    <n v="3143.7"/>
  </r>
  <r>
    <x v="365"/>
    <x v="311"/>
    <x v="365"/>
    <x v="1"/>
    <n v="1"/>
    <n v="678.38"/>
    <s v="607 Main St"/>
    <x v="2"/>
    <x v="1"/>
    <s v="TRK74263180"/>
    <n v="4"/>
    <x v="0"/>
    <x v="1"/>
    <n v="678.38"/>
  </r>
  <r>
    <x v="366"/>
    <x v="312"/>
    <x v="366"/>
    <x v="4"/>
    <n v="3"/>
    <n v="602.24"/>
    <s v="603 Main St"/>
    <x v="0"/>
    <x v="4"/>
    <s v="TRK40630538"/>
    <n v="8"/>
    <x v="2"/>
    <x v="1"/>
    <n v="1806.72"/>
  </r>
  <r>
    <x v="367"/>
    <x v="313"/>
    <x v="367"/>
    <x v="5"/>
    <n v="5"/>
    <n v="658.77"/>
    <s v="712 Main St"/>
    <x v="3"/>
    <x v="4"/>
    <s v="TRK82284400"/>
    <n v="10"/>
    <x v="1"/>
    <x v="0"/>
    <n v="3293.85"/>
  </r>
  <r>
    <x v="368"/>
    <x v="31"/>
    <x v="368"/>
    <x v="0"/>
    <n v="3"/>
    <n v="271.02"/>
    <s v="403 Main St"/>
    <x v="2"/>
    <x v="1"/>
    <s v="TRK89728869"/>
    <n v="6"/>
    <x v="2"/>
    <x v="4"/>
    <n v="813.06"/>
  </r>
  <r>
    <x v="369"/>
    <x v="70"/>
    <x v="369"/>
    <x v="0"/>
    <n v="5"/>
    <n v="375.25"/>
    <s v="216 Main St"/>
    <x v="3"/>
    <x v="4"/>
    <s v="TRK73937402"/>
    <n v="9"/>
    <x v="0"/>
    <x v="2"/>
    <n v="1876.25"/>
  </r>
  <r>
    <x v="370"/>
    <x v="120"/>
    <x v="370"/>
    <x v="1"/>
    <n v="1"/>
    <n v="312.11"/>
    <s v="870 Main St"/>
    <x v="1"/>
    <x v="1"/>
    <s v="TRK41143313"/>
    <n v="4"/>
    <x v="3"/>
    <x v="3"/>
    <n v="312.11"/>
  </r>
  <r>
    <x v="371"/>
    <x v="314"/>
    <x v="371"/>
    <x v="1"/>
    <n v="5"/>
    <n v="307.76"/>
    <s v="179 Main St"/>
    <x v="3"/>
    <x v="4"/>
    <s v="TRK82229639"/>
    <n v="9"/>
    <x v="1"/>
    <x v="4"/>
    <n v="1538.8"/>
  </r>
  <r>
    <x v="372"/>
    <x v="311"/>
    <x v="372"/>
    <x v="3"/>
    <n v="3"/>
    <n v="483.53"/>
    <s v="166 Main St"/>
    <x v="4"/>
    <x v="2"/>
    <s v="TRK12123939"/>
    <n v="4"/>
    <x v="2"/>
    <x v="1"/>
    <n v="1450.59"/>
  </r>
  <r>
    <x v="373"/>
    <x v="315"/>
    <x v="373"/>
    <x v="5"/>
    <n v="3"/>
    <n v="341.15"/>
    <s v="969 Main St"/>
    <x v="4"/>
    <x v="4"/>
    <s v="TRK84505143"/>
    <n v="4"/>
    <x v="1"/>
    <x v="0"/>
    <n v="1023.45"/>
  </r>
  <r>
    <x v="374"/>
    <x v="316"/>
    <x v="374"/>
    <x v="0"/>
    <n v="1"/>
    <n v="571.9"/>
    <s v="129 Main St"/>
    <x v="3"/>
    <x v="4"/>
    <s v="TRK67648338"/>
    <n v="1"/>
    <x v="3"/>
    <x v="0"/>
    <n v="571.9"/>
  </r>
  <r>
    <x v="375"/>
    <x v="317"/>
    <x v="375"/>
    <x v="0"/>
    <n v="4"/>
    <n v="95.03"/>
    <s v="400 Main St"/>
    <x v="1"/>
    <x v="0"/>
    <s v="TRK71027262"/>
    <n v="8"/>
    <x v="1"/>
    <x v="3"/>
    <n v="380.12"/>
  </r>
  <r>
    <x v="376"/>
    <x v="318"/>
    <x v="376"/>
    <x v="0"/>
    <n v="5"/>
    <n v="201.22"/>
    <s v="341 Main St"/>
    <x v="0"/>
    <x v="4"/>
    <s v="TRK20788231"/>
    <n v="6"/>
    <x v="1"/>
    <x v="3"/>
    <n v="1006.1"/>
  </r>
  <r>
    <x v="377"/>
    <x v="319"/>
    <x v="377"/>
    <x v="0"/>
    <n v="1"/>
    <n v="260.26"/>
    <s v="625 Main St"/>
    <x v="1"/>
    <x v="4"/>
    <s v="TRK44538419"/>
    <n v="5"/>
    <x v="3"/>
    <x v="0"/>
    <n v="260.26"/>
  </r>
  <r>
    <x v="378"/>
    <x v="320"/>
    <x v="378"/>
    <x v="3"/>
    <n v="5"/>
    <n v="64.5"/>
    <s v="148 Main St"/>
    <x v="2"/>
    <x v="4"/>
    <s v="TRK91029390"/>
    <n v="8"/>
    <x v="3"/>
    <x v="0"/>
    <n v="322.5"/>
  </r>
  <r>
    <x v="379"/>
    <x v="321"/>
    <x v="379"/>
    <x v="1"/>
    <n v="3"/>
    <n v="297.67"/>
    <s v="500 Main St"/>
    <x v="1"/>
    <x v="0"/>
    <s v="TRK85756094"/>
    <n v="6"/>
    <x v="2"/>
    <x v="4"/>
    <n v="893.01"/>
  </r>
  <r>
    <x v="380"/>
    <x v="322"/>
    <x v="380"/>
    <x v="4"/>
    <n v="4"/>
    <n v="331.9"/>
    <s v="127 Main St"/>
    <x v="4"/>
    <x v="4"/>
    <s v="TRK52935059"/>
    <n v="5"/>
    <x v="0"/>
    <x v="0"/>
    <n v="1327.6"/>
  </r>
  <r>
    <x v="381"/>
    <x v="323"/>
    <x v="381"/>
    <x v="3"/>
    <n v="1"/>
    <n v="191.76"/>
    <s v="223 Main St"/>
    <x v="2"/>
    <x v="2"/>
    <s v="TRK98103385"/>
    <n v="1"/>
    <x v="1"/>
    <x v="0"/>
    <n v="191.76"/>
  </r>
  <r>
    <x v="382"/>
    <x v="324"/>
    <x v="382"/>
    <x v="4"/>
    <n v="4"/>
    <n v="263.08999999999997"/>
    <s v="272 Main St"/>
    <x v="0"/>
    <x v="0"/>
    <s v="TRK91702525"/>
    <n v="8"/>
    <x v="0"/>
    <x v="4"/>
    <n v="1052.3599999999999"/>
  </r>
  <r>
    <x v="383"/>
    <x v="325"/>
    <x v="383"/>
    <x v="3"/>
    <n v="4"/>
    <n v="393.8"/>
    <s v="837 Main St"/>
    <x v="2"/>
    <x v="4"/>
    <s v="TRK45275439"/>
    <n v="7"/>
    <x v="0"/>
    <x v="2"/>
    <n v="1575.2"/>
  </r>
  <r>
    <x v="384"/>
    <x v="167"/>
    <x v="384"/>
    <x v="3"/>
    <n v="3"/>
    <n v="553.57000000000005"/>
    <s v="147 Main St"/>
    <x v="2"/>
    <x v="2"/>
    <s v="TRK45688220"/>
    <n v="4"/>
    <x v="1"/>
    <x v="3"/>
    <n v="1660.71"/>
  </r>
  <r>
    <x v="385"/>
    <x v="150"/>
    <x v="385"/>
    <x v="3"/>
    <n v="5"/>
    <n v="191.63"/>
    <s v="752 Main St"/>
    <x v="3"/>
    <x v="3"/>
    <s v="TRK65290904"/>
    <n v="6"/>
    <x v="1"/>
    <x v="3"/>
    <n v="958.15"/>
  </r>
  <r>
    <x v="386"/>
    <x v="200"/>
    <x v="386"/>
    <x v="2"/>
    <n v="1"/>
    <n v="93.02"/>
    <s v="373 Main St"/>
    <x v="1"/>
    <x v="2"/>
    <s v="TRK32588504"/>
    <n v="4"/>
    <x v="2"/>
    <x v="2"/>
    <n v="93.02"/>
  </r>
  <r>
    <x v="387"/>
    <x v="326"/>
    <x v="387"/>
    <x v="4"/>
    <n v="2"/>
    <n v="39.53"/>
    <s v="904 Main St"/>
    <x v="2"/>
    <x v="0"/>
    <s v="TRK55423551"/>
    <n v="3"/>
    <x v="3"/>
    <x v="4"/>
    <n v="79.06"/>
  </r>
  <r>
    <x v="388"/>
    <x v="153"/>
    <x v="388"/>
    <x v="4"/>
    <n v="3"/>
    <n v="633.97"/>
    <s v="152 Main St"/>
    <x v="4"/>
    <x v="4"/>
    <s v="TRK49157047"/>
    <n v="7"/>
    <x v="3"/>
    <x v="3"/>
    <n v="1901.91"/>
  </r>
  <r>
    <x v="389"/>
    <x v="327"/>
    <x v="389"/>
    <x v="6"/>
    <n v="4"/>
    <n v="697.5"/>
    <s v="558 Main St"/>
    <x v="4"/>
    <x v="0"/>
    <s v="TRK40543461"/>
    <n v="7"/>
    <x v="1"/>
    <x v="1"/>
    <n v="2790"/>
  </r>
  <r>
    <x v="390"/>
    <x v="328"/>
    <x v="390"/>
    <x v="4"/>
    <n v="5"/>
    <n v="508.69"/>
    <s v="885 Main St"/>
    <x v="4"/>
    <x v="3"/>
    <s v="TRK30547638"/>
    <n v="10"/>
    <x v="1"/>
    <x v="4"/>
    <n v="2543.4499999999998"/>
  </r>
  <r>
    <x v="391"/>
    <x v="317"/>
    <x v="391"/>
    <x v="5"/>
    <n v="2"/>
    <n v="527.46"/>
    <s v="516 Main St"/>
    <x v="0"/>
    <x v="1"/>
    <s v="TRK82009557"/>
    <n v="3"/>
    <x v="1"/>
    <x v="1"/>
    <n v="1054.92"/>
  </r>
  <r>
    <x v="392"/>
    <x v="329"/>
    <x v="392"/>
    <x v="1"/>
    <n v="1"/>
    <n v="627.20000000000005"/>
    <s v="197 Main St"/>
    <x v="1"/>
    <x v="3"/>
    <s v="TRK47366265"/>
    <n v="1"/>
    <x v="3"/>
    <x v="2"/>
    <n v="627.20000000000005"/>
  </r>
  <r>
    <x v="393"/>
    <x v="330"/>
    <x v="393"/>
    <x v="4"/>
    <n v="1"/>
    <n v="75.010000000000005"/>
    <s v="921 Main St"/>
    <x v="2"/>
    <x v="2"/>
    <s v="TRK24632134"/>
    <n v="3"/>
    <x v="2"/>
    <x v="4"/>
    <n v="75.010000000000005"/>
  </r>
  <r>
    <x v="394"/>
    <x v="176"/>
    <x v="394"/>
    <x v="6"/>
    <n v="5"/>
    <n v="529.54999999999995"/>
    <s v="359 Main St"/>
    <x v="3"/>
    <x v="0"/>
    <s v="TRK34848650"/>
    <n v="10"/>
    <x v="2"/>
    <x v="3"/>
    <n v="2647.75"/>
  </r>
  <r>
    <x v="395"/>
    <x v="331"/>
    <x v="395"/>
    <x v="1"/>
    <n v="3"/>
    <n v="127.41"/>
    <s v="830 Main St"/>
    <x v="3"/>
    <x v="3"/>
    <s v="TRK35386084"/>
    <n v="7"/>
    <x v="0"/>
    <x v="1"/>
    <n v="382.23"/>
  </r>
  <r>
    <x v="396"/>
    <x v="142"/>
    <x v="396"/>
    <x v="2"/>
    <n v="5"/>
    <n v="287.13"/>
    <s v="778 Main St"/>
    <x v="1"/>
    <x v="0"/>
    <s v="TRK82004594"/>
    <n v="10"/>
    <x v="0"/>
    <x v="2"/>
    <n v="1435.65"/>
  </r>
  <r>
    <x v="397"/>
    <x v="332"/>
    <x v="397"/>
    <x v="0"/>
    <n v="1"/>
    <n v="427.06"/>
    <s v="987 Main St"/>
    <x v="1"/>
    <x v="1"/>
    <s v="TRK86674704"/>
    <n v="1"/>
    <x v="3"/>
    <x v="1"/>
    <n v="427.06"/>
  </r>
  <r>
    <x v="398"/>
    <x v="333"/>
    <x v="398"/>
    <x v="1"/>
    <n v="5"/>
    <n v="53.93"/>
    <s v="729 Main St"/>
    <x v="3"/>
    <x v="0"/>
    <s v="TRK98925264"/>
    <n v="7"/>
    <x v="0"/>
    <x v="0"/>
    <n v="269.64999999999998"/>
  </r>
  <r>
    <x v="399"/>
    <x v="334"/>
    <x v="399"/>
    <x v="2"/>
    <n v="5"/>
    <n v="423.93"/>
    <s v="319 Main St"/>
    <x v="0"/>
    <x v="2"/>
    <s v="TRK32012588"/>
    <n v="5"/>
    <x v="1"/>
    <x v="3"/>
    <n v="2119.65"/>
  </r>
  <r>
    <x v="400"/>
    <x v="335"/>
    <x v="400"/>
    <x v="6"/>
    <n v="4"/>
    <n v="160.22"/>
    <s v="304 Main St"/>
    <x v="0"/>
    <x v="2"/>
    <s v="TRK60088901"/>
    <n v="9"/>
    <x v="3"/>
    <x v="0"/>
    <n v="640.88"/>
  </r>
  <r>
    <x v="401"/>
    <x v="23"/>
    <x v="401"/>
    <x v="4"/>
    <n v="1"/>
    <n v="538.67999999999995"/>
    <s v="197 Main St"/>
    <x v="0"/>
    <x v="2"/>
    <s v="TRK14225465"/>
    <n v="6"/>
    <x v="2"/>
    <x v="1"/>
    <n v="538.67999999999995"/>
  </r>
  <r>
    <x v="402"/>
    <x v="336"/>
    <x v="402"/>
    <x v="4"/>
    <n v="5"/>
    <n v="337.38"/>
    <s v="858 Main St"/>
    <x v="3"/>
    <x v="0"/>
    <s v="TRK79746259"/>
    <n v="5"/>
    <x v="2"/>
    <x v="1"/>
    <n v="1686.9"/>
  </r>
  <r>
    <x v="403"/>
    <x v="337"/>
    <x v="403"/>
    <x v="2"/>
    <n v="1"/>
    <n v="620.21"/>
    <s v="740 Main St"/>
    <x v="1"/>
    <x v="2"/>
    <s v="TRK98333066"/>
    <n v="1"/>
    <x v="1"/>
    <x v="1"/>
    <n v="620.21"/>
  </r>
  <r>
    <x v="404"/>
    <x v="338"/>
    <x v="404"/>
    <x v="0"/>
    <n v="2"/>
    <n v="99.1"/>
    <s v="440 Main St"/>
    <x v="4"/>
    <x v="3"/>
    <s v="TRK54571699"/>
    <n v="6"/>
    <x v="2"/>
    <x v="0"/>
    <n v="198.2"/>
  </r>
  <r>
    <x v="405"/>
    <x v="281"/>
    <x v="405"/>
    <x v="0"/>
    <n v="4"/>
    <n v="451.97"/>
    <s v="603 Main St"/>
    <x v="1"/>
    <x v="1"/>
    <s v="TRK64664424"/>
    <n v="7"/>
    <x v="3"/>
    <x v="2"/>
    <n v="1807.88"/>
  </r>
  <r>
    <x v="406"/>
    <x v="339"/>
    <x v="406"/>
    <x v="2"/>
    <n v="4"/>
    <n v="66.099999999999994"/>
    <s v="572 Main St"/>
    <x v="4"/>
    <x v="2"/>
    <s v="TRK50284486"/>
    <n v="9"/>
    <x v="3"/>
    <x v="4"/>
    <n v="264.39999999999998"/>
  </r>
  <r>
    <x v="407"/>
    <x v="340"/>
    <x v="407"/>
    <x v="2"/>
    <n v="4"/>
    <n v="547.32000000000005"/>
    <s v="250 Main St"/>
    <x v="4"/>
    <x v="2"/>
    <s v="TRK72547640"/>
    <n v="8"/>
    <x v="1"/>
    <x v="0"/>
    <n v="2189.2800000000002"/>
  </r>
  <r>
    <x v="408"/>
    <x v="341"/>
    <x v="408"/>
    <x v="4"/>
    <n v="3"/>
    <n v="412.53"/>
    <s v="536 Main St"/>
    <x v="1"/>
    <x v="4"/>
    <s v="TRK31140158"/>
    <n v="6"/>
    <x v="3"/>
    <x v="4"/>
    <n v="1237.5899999999999"/>
  </r>
  <r>
    <x v="409"/>
    <x v="342"/>
    <x v="409"/>
    <x v="6"/>
    <n v="5"/>
    <n v="84.13"/>
    <s v="767 Main St"/>
    <x v="1"/>
    <x v="3"/>
    <s v="TRK12320793"/>
    <n v="9"/>
    <x v="0"/>
    <x v="4"/>
    <n v="420.65"/>
  </r>
  <r>
    <x v="410"/>
    <x v="343"/>
    <x v="410"/>
    <x v="2"/>
    <n v="2"/>
    <n v="518.23"/>
    <s v="184 Main St"/>
    <x v="0"/>
    <x v="0"/>
    <s v="TRK52470162"/>
    <n v="5"/>
    <x v="2"/>
    <x v="2"/>
    <n v="1036.46"/>
  </r>
  <r>
    <x v="411"/>
    <x v="83"/>
    <x v="411"/>
    <x v="6"/>
    <n v="2"/>
    <n v="39.51"/>
    <s v="981 Main St"/>
    <x v="1"/>
    <x v="0"/>
    <s v="TRK21174822"/>
    <n v="5"/>
    <x v="2"/>
    <x v="3"/>
    <n v="79.02"/>
  </r>
  <r>
    <x v="412"/>
    <x v="344"/>
    <x v="412"/>
    <x v="2"/>
    <n v="5"/>
    <n v="133.01"/>
    <s v="246 Main St"/>
    <x v="2"/>
    <x v="2"/>
    <s v="TRK31313343"/>
    <n v="10"/>
    <x v="2"/>
    <x v="3"/>
    <n v="665.05"/>
  </r>
  <r>
    <x v="413"/>
    <x v="345"/>
    <x v="413"/>
    <x v="2"/>
    <n v="1"/>
    <n v="118.8"/>
    <s v="123 Main St"/>
    <x v="1"/>
    <x v="3"/>
    <s v="TRK87598790"/>
    <n v="6"/>
    <x v="0"/>
    <x v="2"/>
    <n v="118.8"/>
  </r>
  <r>
    <x v="414"/>
    <x v="346"/>
    <x v="414"/>
    <x v="6"/>
    <n v="2"/>
    <n v="139.57"/>
    <s v="797 Main St"/>
    <x v="4"/>
    <x v="3"/>
    <s v="TRK84229257"/>
    <n v="4"/>
    <x v="3"/>
    <x v="3"/>
    <n v="279.14"/>
  </r>
  <r>
    <x v="415"/>
    <x v="161"/>
    <x v="415"/>
    <x v="3"/>
    <n v="1"/>
    <n v="184.15"/>
    <s v="655 Main St"/>
    <x v="3"/>
    <x v="0"/>
    <s v="TRK64558985"/>
    <n v="5"/>
    <x v="1"/>
    <x v="3"/>
    <n v="184.15"/>
  </r>
  <r>
    <x v="416"/>
    <x v="202"/>
    <x v="416"/>
    <x v="5"/>
    <n v="2"/>
    <n v="644.04999999999995"/>
    <s v="652 Main St"/>
    <x v="3"/>
    <x v="1"/>
    <s v="TRK26263902"/>
    <n v="5"/>
    <x v="3"/>
    <x v="1"/>
    <n v="1288.0999999999999"/>
  </r>
  <r>
    <x v="417"/>
    <x v="347"/>
    <x v="417"/>
    <x v="5"/>
    <n v="5"/>
    <n v="55.41"/>
    <s v="954 Main St"/>
    <x v="1"/>
    <x v="1"/>
    <s v="TRK51429869"/>
    <n v="5"/>
    <x v="2"/>
    <x v="4"/>
    <n v="277.05"/>
  </r>
  <r>
    <x v="418"/>
    <x v="348"/>
    <x v="418"/>
    <x v="4"/>
    <n v="1"/>
    <n v="310.93"/>
    <s v="862 Main St"/>
    <x v="1"/>
    <x v="1"/>
    <s v="TRK66144809"/>
    <n v="3"/>
    <x v="2"/>
    <x v="3"/>
    <n v="310.93"/>
  </r>
  <r>
    <x v="419"/>
    <x v="349"/>
    <x v="419"/>
    <x v="2"/>
    <n v="2"/>
    <n v="216.66"/>
    <s v="885 Main St"/>
    <x v="0"/>
    <x v="4"/>
    <s v="TRK75644156"/>
    <n v="6"/>
    <x v="1"/>
    <x v="0"/>
    <n v="433.32"/>
  </r>
  <r>
    <x v="420"/>
    <x v="350"/>
    <x v="420"/>
    <x v="1"/>
    <n v="1"/>
    <n v="452.7"/>
    <s v="439 Main St"/>
    <x v="0"/>
    <x v="0"/>
    <s v="TRK91362635"/>
    <n v="5"/>
    <x v="1"/>
    <x v="0"/>
    <n v="452.7"/>
  </r>
  <r>
    <x v="421"/>
    <x v="3"/>
    <x v="421"/>
    <x v="3"/>
    <n v="2"/>
    <n v="288.20999999999998"/>
    <s v="769 Main St"/>
    <x v="0"/>
    <x v="1"/>
    <s v="TRK53032122"/>
    <n v="5"/>
    <x v="2"/>
    <x v="2"/>
    <n v="576.41999999999996"/>
  </r>
  <r>
    <x v="422"/>
    <x v="32"/>
    <x v="422"/>
    <x v="1"/>
    <n v="4"/>
    <n v="206.6"/>
    <s v="914 Main St"/>
    <x v="3"/>
    <x v="2"/>
    <s v="TRK25861469"/>
    <n v="6"/>
    <x v="3"/>
    <x v="1"/>
    <n v="826.4"/>
  </r>
  <r>
    <x v="423"/>
    <x v="351"/>
    <x v="423"/>
    <x v="4"/>
    <n v="4"/>
    <n v="685.2"/>
    <s v="195 Main St"/>
    <x v="3"/>
    <x v="1"/>
    <s v="TRK97308771"/>
    <n v="6"/>
    <x v="3"/>
    <x v="4"/>
    <n v="2740.8"/>
  </r>
  <r>
    <x v="424"/>
    <x v="352"/>
    <x v="424"/>
    <x v="3"/>
    <n v="5"/>
    <n v="22.94"/>
    <s v="339 Main St"/>
    <x v="4"/>
    <x v="4"/>
    <s v="TRK64012257"/>
    <n v="10"/>
    <x v="2"/>
    <x v="2"/>
    <n v="114.7"/>
  </r>
  <r>
    <x v="425"/>
    <x v="338"/>
    <x v="425"/>
    <x v="5"/>
    <n v="2"/>
    <n v="301.88"/>
    <s v="488 Main St"/>
    <x v="3"/>
    <x v="2"/>
    <s v="TRK25325993"/>
    <n v="5"/>
    <x v="3"/>
    <x v="2"/>
    <n v="603.76"/>
  </r>
  <r>
    <x v="426"/>
    <x v="353"/>
    <x v="426"/>
    <x v="0"/>
    <n v="5"/>
    <n v="57.45"/>
    <s v="315 Main St"/>
    <x v="4"/>
    <x v="1"/>
    <s v="TRK24839296"/>
    <n v="10"/>
    <x v="2"/>
    <x v="3"/>
    <n v="287.25"/>
  </r>
  <r>
    <x v="427"/>
    <x v="144"/>
    <x v="427"/>
    <x v="6"/>
    <n v="1"/>
    <n v="161.24"/>
    <s v="379 Main St"/>
    <x v="2"/>
    <x v="4"/>
    <s v="TRK70952564"/>
    <n v="3"/>
    <x v="3"/>
    <x v="0"/>
    <n v="161.24"/>
  </r>
  <r>
    <x v="428"/>
    <x v="130"/>
    <x v="428"/>
    <x v="3"/>
    <n v="4"/>
    <n v="262.58"/>
    <s v="895 Main St"/>
    <x v="1"/>
    <x v="1"/>
    <s v="TRK57227640"/>
    <n v="8"/>
    <x v="3"/>
    <x v="2"/>
    <n v="1050.32"/>
  </r>
  <r>
    <x v="429"/>
    <x v="36"/>
    <x v="429"/>
    <x v="4"/>
    <n v="4"/>
    <n v="515.19000000000005"/>
    <s v="522 Main St"/>
    <x v="2"/>
    <x v="4"/>
    <s v="TRK90838498"/>
    <n v="9"/>
    <x v="0"/>
    <x v="3"/>
    <n v="2060.7600000000002"/>
  </r>
  <r>
    <x v="430"/>
    <x v="323"/>
    <x v="430"/>
    <x v="1"/>
    <n v="1"/>
    <n v="450.07"/>
    <s v="433 Main St"/>
    <x v="3"/>
    <x v="0"/>
    <s v="TRK44134016"/>
    <n v="6"/>
    <x v="1"/>
    <x v="4"/>
    <n v="450.07"/>
  </r>
  <r>
    <x v="431"/>
    <x v="354"/>
    <x v="431"/>
    <x v="4"/>
    <n v="1"/>
    <n v="52.54"/>
    <s v="651 Main St"/>
    <x v="0"/>
    <x v="1"/>
    <s v="TRK59623037"/>
    <n v="6"/>
    <x v="3"/>
    <x v="3"/>
    <n v="52.54"/>
  </r>
  <r>
    <x v="432"/>
    <x v="355"/>
    <x v="432"/>
    <x v="2"/>
    <n v="2"/>
    <n v="424.32"/>
    <s v="662 Main St"/>
    <x v="2"/>
    <x v="2"/>
    <s v="TRK77163738"/>
    <n v="6"/>
    <x v="2"/>
    <x v="1"/>
    <n v="848.64"/>
  </r>
  <r>
    <x v="433"/>
    <x v="46"/>
    <x v="433"/>
    <x v="0"/>
    <n v="3"/>
    <n v="631.64"/>
    <s v="785 Main St"/>
    <x v="2"/>
    <x v="2"/>
    <s v="TRK13282106"/>
    <n v="3"/>
    <x v="1"/>
    <x v="3"/>
    <n v="1894.92"/>
  </r>
  <r>
    <x v="434"/>
    <x v="356"/>
    <x v="434"/>
    <x v="4"/>
    <n v="5"/>
    <n v="327.68"/>
    <s v="384 Main St"/>
    <x v="2"/>
    <x v="2"/>
    <s v="TRK85939879"/>
    <n v="6"/>
    <x v="2"/>
    <x v="3"/>
    <n v="1638.4"/>
  </r>
  <r>
    <x v="435"/>
    <x v="156"/>
    <x v="435"/>
    <x v="4"/>
    <n v="1"/>
    <n v="414.47"/>
    <s v="101 Main St"/>
    <x v="0"/>
    <x v="2"/>
    <s v="TRK97868309"/>
    <n v="3"/>
    <x v="1"/>
    <x v="0"/>
    <n v="414.47"/>
  </r>
  <r>
    <x v="436"/>
    <x v="91"/>
    <x v="436"/>
    <x v="5"/>
    <n v="4"/>
    <n v="221.33"/>
    <s v="651 Main St"/>
    <x v="1"/>
    <x v="4"/>
    <s v="TRK73545796"/>
    <n v="5"/>
    <x v="2"/>
    <x v="4"/>
    <n v="885.32"/>
  </r>
  <r>
    <x v="437"/>
    <x v="171"/>
    <x v="437"/>
    <x v="1"/>
    <n v="1"/>
    <n v="512.39"/>
    <s v="955 Main St"/>
    <x v="1"/>
    <x v="3"/>
    <s v="TRK20863705"/>
    <n v="2"/>
    <x v="1"/>
    <x v="0"/>
    <n v="512.39"/>
  </r>
  <r>
    <x v="438"/>
    <x v="195"/>
    <x v="438"/>
    <x v="2"/>
    <n v="3"/>
    <n v="459.34"/>
    <s v="436 Main St"/>
    <x v="3"/>
    <x v="4"/>
    <s v="TRK27439574"/>
    <n v="3"/>
    <x v="0"/>
    <x v="0"/>
    <n v="1378.02"/>
  </r>
  <r>
    <x v="439"/>
    <x v="50"/>
    <x v="439"/>
    <x v="2"/>
    <n v="1"/>
    <n v="146.32"/>
    <s v="321 Main St"/>
    <x v="1"/>
    <x v="0"/>
    <s v="TRK36260319"/>
    <n v="4"/>
    <x v="3"/>
    <x v="3"/>
    <n v="146.32"/>
  </r>
  <r>
    <x v="440"/>
    <x v="357"/>
    <x v="440"/>
    <x v="6"/>
    <n v="4"/>
    <n v="83.6"/>
    <s v="978 Main St"/>
    <x v="0"/>
    <x v="4"/>
    <s v="TRK31727767"/>
    <n v="4"/>
    <x v="0"/>
    <x v="3"/>
    <n v="334.4"/>
  </r>
  <r>
    <x v="441"/>
    <x v="141"/>
    <x v="441"/>
    <x v="4"/>
    <n v="2"/>
    <n v="328.54"/>
    <s v="475 Main St"/>
    <x v="3"/>
    <x v="2"/>
    <s v="TRK79466982"/>
    <n v="6"/>
    <x v="1"/>
    <x v="2"/>
    <n v="657.08"/>
  </r>
  <r>
    <x v="442"/>
    <x v="40"/>
    <x v="442"/>
    <x v="3"/>
    <n v="5"/>
    <n v="314.94"/>
    <s v="661 Main St"/>
    <x v="4"/>
    <x v="4"/>
    <s v="TRK43410829"/>
    <n v="8"/>
    <x v="0"/>
    <x v="0"/>
    <n v="1574.7"/>
  </r>
  <r>
    <x v="443"/>
    <x v="358"/>
    <x v="443"/>
    <x v="3"/>
    <n v="2"/>
    <n v="69.64"/>
    <s v="813 Main St"/>
    <x v="4"/>
    <x v="2"/>
    <s v="TRK58970302"/>
    <n v="6"/>
    <x v="2"/>
    <x v="3"/>
    <n v="139.28"/>
  </r>
  <r>
    <x v="444"/>
    <x v="180"/>
    <x v="444"/>
    <x v="4"/>
    <n v="1"/>
    <n v="135.16999999999999"/>
    <s v="585 Main St"/>
    <x v="1"/>
    <x v="0"/>
    <s v="TRK61882353"/>
    <n v="6"/>
    <x v="1"/>
    <x v="0"/>
    <n v="135.16999999999999"/>
  </r>
  <r>
    <x v="445"/>
    <x v="230"/>
    <x v="445"/>
    <x v="1"/>
    <n v="1"/>
    <n v="487.21"/>
    <s v="227 Main St"/>
    <x v="4"/>
    <x v="3"/>
    <s v="TRK31351770"/>
    <n v="3"/>
    <x v="0"/>
    <x v="1"/>
    <n v="487.21"/>
  </r>
  <r>
    <x v="446"/>
    <x v="359"/>
    <x v="446"/>
    <x v="5"/>
    <n v="5"/>
    <n v="509.58"/>
    <s v="262 Main St"/>
    <x v="1"/>
    <x v="3"/>
    <s v="TRK49442402"/>
    <n v="6"/>
    <x v="1"/>
    <x v="0"/>
    <n v="2547.9"/>
  </r>
  <r>
    <x v="447"/>
    <x v="158"/>
    <x v="447"/>
    <x v="4"/>
    <n v="2"/>
    <n v="416.81"/>
    <s v="356 Main St"/>
    <x v="4"/>
    <x v="2"/>
    <s v="TRK45355655"/>
    <n v="2"/>
    <x v="2"/>
    <x v="3"/>
    <n v="833.62"/>
  </r>
  <r>
    <x v="448"/>
    <x v="355"/>
    <x v="448"/>
    <x v="5"/>
    <n v="2"/>
    <n v="160"/>
    <s v="854 Main St"/>
    <x v="4"/>
    <x v="4"/>
    <s v="TRK12860600"/>
    <n v="4"/>
    <x v="0"/>
    <x v="0"/>
    <n v="320"/>
  </r>
  <r>
    <x v="449"/>
    <x v="360"/>
    <x v="449"/>
    <x v="2"/>
    <n v="3"/>
    <n v="253.05"/>
    <s v="286 Main St"/>
    <x v="1"/>
    <x v="4"/>
    <s v="TRK48688724"/>
    <n v="3"/>
    <x v="2"/>
    <x v="0"/>
    <n v="759.15000000000009"/>
  </r>
  <r>
    <x v="450"/>
    <x v="361"/>
    <x v="450"/>
    <x v="0"/>
    <n v="5"/>
    <n v="615.1"/>
    <s v="160 Main St"/>
    <x v="3"/>
    <x v="2"/>
    <s v="TRK94023253"/>
    <n v="10"/>
    <x v="3"/>
    <x v="0"/>
    <n v="3075.5"/>
  </r>
  <r>
    <x v="451"/>
    <x v="362"/>
    <x v="451"/>
    <x v="0"/>
    <n v="1"/>
    <n v="183.18"/>
    <s v="647 Main St"/>
    <x v="0"/>
    <x v="1"/>
    <s v="TRK17501136"/>
    <n v="6"/>
    <x v="0"/>
    <x v="2"/>
    <n v="183.18"/>
  </r>
  <r>
    <x v="452"/>
    <x v="363"/>
    <x v="452"/>
    <x v="4"/>
    <n v="1"/>
    <n v="75.78"/>
    <s v="581 Main St"/>
    <x v="4"/>
    <x v="4"/>
    <s v="TRK20863987"/>
    <n v="5"/>
    <x v="0"/>
    <x v="4"/>
    <n v="75.78"/>
  </r>
  <r>
    <x v="453"/>
    <x v="201"/>
    <x v="453"/>
    <x v="2"/>
    <n v="1"/>
    <n v="675.57"/>
    <s v="492 Main St"/>
    <x v="4"/>
    <x v="0"/>
    <s v="TRK51241924"/>
    <n v="1"/>
    <x v="3"/>
    <x v="3"/>
    <n v="675.57"/>
  </r>
  <r>
    <x v="454"/>
    <x v="364"/>
    <x v="454"/>
    <x v="5"/>
    <n v="1"/>
    <n v="109.29"/>
    <s v="686 Main St"/>
    <x v="0"/>
    <x v="1"/>
    <s v="TRK75583042"/>
    <n v="5"/>
    <x v="1"/>
    <x v="4"/>
    <n v="109.29"/>
  </r>
  <r>
    <x v="455"/>
    <x v="290"/>
    <x v="455"/>
    <x v="1"/>
    <n v="1"/>
    <n v="639.83000000000004"/>
    <s v="874 Main St"/>
    <x v="0"/>
    <x v="4"/>
    <s v="TRK32856728"/>
    <n v="2"/>
    <x v="0"/>
    <x v="1"/>
    <n v="639.83000000000004"/>
  </r>
  <r>
    <x v="456"/>
    <x v="365"/>
    <x v="456"/>
    <x v="6"/>
    <n v="5"/>
    <n v="62.81"/>
    <s v="259 Main St"/>
    <x v="2"/>
    <x v="0"/>
    <s v="TRK69089975"/>
    <n v="9"/>
    <x v="0"/>
    <x v="3"/>
    <n v="314.05"/>
  </r>
  <r>
    <x v="457"/>
    <x v="366"/>
    <x v="457"/>
    <x v="6"/>
    <n v="4"/>
    <n v="615.83000000000004"/>
    <s v="545 Main St"/>
    <x v="1"/>
    <x v="2"/>
    <s v="TRK67692578"/>
    <n v="4"/>
    <x v="3"/>
    <x v="0"/>
    <n v="2463.3200000000002"/>
  </r>
  <r>
    <x v="458"/>
    <x v="367"/>
    <x v="458"/>
    <x v="0"/>
    <n v="4"/>
    <n v="510.58"/>
    <s v="196 Main St"/>
    <x v="2"/>
    <x v="2"/>
    <s v="TRK61946127"/>
    <n v="7"/>
    <x v="3"/>
    <x v="2"/>
    <n v="2042.32"/>
  </r>
  <r>
    <x v="459"/>
    <x v="25"/>
    <x v="459"/>
    <x v="6"/>
    <n v="1"/>
    <n v="334.39"/>
    <s v="433 Main St"/>
    <x v="2"/>
    <x v="2"/>
    <s v="TRK39717191"/>
    <n v="2"/>
    <x v="2"/>
    <x v="0"/>
    <n v="334.39"/>
  </r>
  <r>
    <x v="460"/>
    <x v="354"/>
    <x v="460"/>
    <x v="5"/>
    <n v="1"/>
    <n v="144.25"/>
    <s v="474 Main St"/>
    <x v="4"/>
    <x v="2"/>
    <s v="TRK93822942"/>
    <n v="2"/>
    <x v="3"/>
    <x v="1"/>
    <n v="144.25"/>
  </r>
  <r>
    <x v="461"/>
    <x v="180"/>
    <x v="461"/>
    <x v="2"/>
    <n v="1"/>
    <n v="401.82"/>
    <s v="407 Main St"/>
    <x v="2"/>
    <x v="0"/>
    <s v="TRK47776482"/>
    <n v="5"/>
    <x v="1"/>
    <x v="4"/>
    <n v="401.82"/>
  </r>
  <r>
    <x v="462"/>
    <x v="368"/>
    <x v="462"/>
    <x v="1"/>
    <n v="1"/>
    <n v="252.68"/>
    <s v="731 Main St"/>
    <x v="1"/>
    <x v="1"/>
    <s v="TRK32796086"/>
    <n v="1"/>
    <x v="2"/>
    <x v="1"/>
    <n v="252.68"/>
  </r>
  <r>
    <x v="463"/>
    <x v="68"/>
    <x v="463"/>
    <x v="5"/>
    <n v="5"/>
    <n v="662.78"/>
    <s v="214 Main St"/>
    <x v="0"/>
    <x v="0"/>
    <s v="TRK14011732"/>
    <n v="9"/>
    <x v="0"/>
    <x v="0"/>
    <n v="3313.9"/>
  </r>
  <r>
    <x v="464"/>
    <x v="369"/>
    <x v="464"/>
    <x v="2"/>
    <n v="4"/>
    <n v="434.42"/>
    <s v="739 Main St"/>
    <x v="1"/>
    <x v="1"/>
    <s v="TRK71418686"/>
    <n v="6"/>
    <x v="1"/>
    <x v="4"/>
    <n v="1737.68"/>
  </r>
  <r>
    <x v="465"/>
    <x v="235"/>
    <x v="465"/>
    <x v="4"/>
    <n v="5"/>
    <n v="513.49"/>
    <s v="391 Main St"/>
    <x v="3"/>
    <x v="1"/>
    <s v="TRK65438300"/>
    <n v="8"/>
    <x v="2"/>
    <x v="4"/>
    <n v="2567.4499999999998"/>
  </r>
  <r>
    <x v="466"/>
    <x v="202"/>
    <x v="466"/>
    <x v="1"/>
    <n v="1"/>
    <n v="432.47"/>
    <s v="895 Main St"/>
    <x v="4"/>
    <x v="3"/>
    <s v="TRK97829604"/>
    <n v="4"/>
    <x v="1"/>
    <x v="1"/>
    <n v="432.47"/>
  </r>
  <r>
    <x v="467"/>
    <x v="225"/>
    <x v="467"/>
    <x v="6"/>
    <n v="1"/>
    <n v="45.94"/>
    <s v="572 Main St"/>
    <x v="4"/>
    <x v="1"/>
    <s v="TRK44350440"/>
    <n v="2"/>
    <x v="3"/>
    <x v="2"/>
    <n v="45.94"/>
  </r>
  <r>
    <x v="468"/>
    <x v="370"/>
    <x v="468"/>
    <x v="1"/>
    <n v="1"/>
    <n v="418.36"/>
    <s v="998 Main St"/>
    <x v="2"/>
    <x v="3"/>
    <s v="TRK60203957"/>
    <n v="5"/>
    <x v="1"/>
    <x v="2"/>
    <n v="418.36"/>
  </r>
  <r>
    <x v="469"/>
    <x v="371"/>
    <x v="469"/>
    <x v="3"/>
    <n v="5"/>
    <n v="676.98"/>
    <s v="893 Main St"/>
    <x v="4"/>
    <x v="1"/>
    <s v="TRK17254691"/>
    <n v="5"/>
    <x v="2"/>
    <x v="3"/>
    <n v="3384.9"/>
  </r>
  <r>
    <x v="470"/>
    <x v="372"/>
    <x v="470"/>
    <x v="2"/>
    <n v="4"/>
    <n v="263.62"/>
    <s v="672 Main St"/>
    <x v="4"/>
    <x v="0"/>
    <s v="TRK33538608"/>
    <n v="5"/>
    <x v="0"/>
    <x v="2"/>
    <n v="1054.48"/>
  </r>
  <r>
    <x v="471"/>
    <x v="373"/>
    <x v="471"/>
    <x v="6"/>
    <n v="5"/>
    <n v="551.27"/>
    <s v="395 Main St"/>
    <x v="1"/>
    <x v="1"/>
    <s v="TRK27625571"/>
    <n v="7"/>
    <x v="1"/>
    <x v="1"/>
    <n v="2756.35"/>
  </r>
  <r>
    <x v="472"/>
    <x v="374"/>
    <x v="472"/>
    <x v="3"/>
    <n v="3"/>
    <n v="508.12"/>
    <s v="796 Main St"/>
    <x v="2"/>
    <x v="1"/>
    <s v="TRK86461316"/>
    <n v="8"/>
    <x v="1"/>
    <x v="1"/>
    <n v="1524.36"/>
  </r>
  <r>
    <x v="473"/>
    <x v="86"/>
    <x v="473"/>
    <x v="3"/>
    <n v="2"/>
    <n v="14.93"/>
    <s v="449 Main St"/>
    <x v="1"/>
    <x v="0"/>
    <s v="TRK71597160"/>
    <n v="4"/>
    <x v="2"/>
    <x v="3"/>
    <n v="29.86"/>
  </r>
  <r>
    <x v="474"/>
    <x v="375"/>
    <x v="474"/>
    <x v="4"/>
    <n v="3"/>
    <n v="229.34"/>
    <s v="398 Main St"/>
    <x v="2"/>
    <x v="0"/>
    <s v="TRK84378003"/>
    <n v="6"/>
    <x v="0"/>
    <x v="1"/>
    <n v="688.02"/>
  </r>
  <r>
    <x v="475"/>
    <x v="373"/>
    <x v="475"/>
    <x v="2"/>
    <n v="2"/>
    <n v="438.62"/>
    <s v="363 Main St"/>
    <x v="4"/>
    <x v="1"/>
    <s v="TRK91642337"/>
    <n v="3"/>
    <x v="0"/>
    <x v="3"/>
    <n v="877.24"/>
  </r>
  <r>
    <x v="476"/>
    <x v="361"/>
    <x v="476"/>
    <x v="1"/>
    <n v="2"/>
    <n v="513.59"/>
    <s v="867 Main St"/>
    <x v="1"/>
    <x v="2"/>
    <s v="TRK19292184"/>
    <n v="4"/>
    <x v="1"/>
    <x v="1"/>
    <n v="1027.18"/>
  </r>
  <r>
    <x v="477"/>
    <x v="376"/>
    <x v="477"/>
    <x v="1"/>
    <n v="2"/>
    <n v="253.74"/>
    <s v="481 Main St"/>
    <x v="1"/>
    <x v="0"/>
    <s v="TRK13166044"/>
    <n v="5"/>
    <x v="0"/>
    <x v="4"/>
    <n v="507.48"/>
  </r>
  <r>
    <x v="478"/>
    <x v="377"/>
    <x v="478"/>
    <x v="2"/>
    <n v="3"/>
    <n v="62.77"/>
    <s v="914 Main St"/>
    <x v="3"/>
    <x v="0"/>
    <s v="TRK88544431"/>
    <n v="6"/>
    <x v="1"/>
    <x v="1"/>
    <n v="188.31"/>
  </r>
  <r>
    <x v="479"/>
    <x v="378"/>
    <x v="479"/>
    <x v="0"/>
    <n v="4"/>
    <n v="25.29"/>
    <s v="943 Main St"/>
    <x v="2"/>
    <x v="4"/>
    <s v="TRK21429162"/>
    <n v="8"/>
    <x v="2"/>
    <x v="4"/>
    <n v="101.16"/>
  </r>
  <r>
    <x v="480"/>
    <x v="379"/>
    <x v="480"/>
    <x v="3"/>
    <n v="1"/>
    <n v="335.1"/>
    <s v="126 Main St"/>
    <x v="0"/>
    <x v="4"/>
    <s v="TRK93171043"/>
    <n v="6"/>
    <x v="1"/>
    <x v="1"/>
    <n v="335.1"/>
  </r>
  <r>
    <x v="481"/>
    <x v="295"/>
    <x v="481"/>
    <x v="5"/>
    <n v="4"/>
    <n v="484.85"/>
    <s v="317 Main St"/>
    <x v="0"/>
    <x v="3"/>
    <s v="TRK58653915"/>
    <n v="5"/>
    <x v="3"/>
    <x v="1"/>
    <n v="1939.4"/>
  </r>
  <r>
    <x v="482"/>
    <x v="380"/>
    <x v="482"/>
    <x v="0"/>
    <n v="3"/>
    <n v="381.41"/>
    <s v="989 Main St"/>
    <x v="1"/>
    <x v="4"/>
    <s v="TRK22302049"/>
    <n v="6"/>
    <x v="2"/>
    <x v="0"/>
    <n v="1144.23"/>
  </r>
  <r>
    <x v="483"/>
    <x v="381"/>
    <x v="483"/>
    <x v="1"/>
    <n v="5"/>
    <n v="347.92"/>
    <s v="982 Main St"/>
    <x v="4"/>
    <x v="4"/>
    <s v="TRK52743700"/>
    <n v="6"/>
    <x v="3"/>
    <x v="4"/>
    <n v="1739.6"/>
  </r>
  <r>
    <x v="484"/>
    <x v="382"/>
    <x v="484"/>
    <x v="3"/>
    <n v="4"/>
    <n v="15.01"/>
    <s v="767 Main St"/>
    <x v="4"/>
    <x v="1"/>
    <s v="TRK90455340"/>
    <n v="6"/>
    <x v="2"/>
    <x v="3"/>
    <n v="60.04"/>
  </r>
  <r>
    <x v="485"/>
    <x v="383"/>
    <x v="485"/>
    <x v="3"/>
    <n v="3"/>
    <n v="404.79"/>
    <s v="764 Main St"/>
    <x v="4"/>
    <x v="0"/>
    <s v="TRK67679195"/>
    <n v="6"/>
    <x v="0"/>
    <x v="0"/>
    <n v="1214.3699999999999"/>
  </r>
  <r>
    <x v="486"/>
    <x v="384"/>
    <x v="486"/>
    <x v="4"/>
    <n v="4"/>
    <n v="611.26"/>
    <s v="558 Main St"/>
    <x v="4"/>
    <x v="0"/>
    <s v="TRK75267873"/>
    <n v="5"/>
    <x v="0"/>
    <x v="1"/>
    <n v="2445.04"/>
  </r>
  <r>
    <x v="487"/>
    <x v="338"/>
    <x v="487"/>
    <x v="4"/>
    <n v="3"/>
    <n v="346.52"/>
    <s v="211 Main St"/>
    <x v="2"/>
    <x v="4"/>
    <s v="TRK92924852"/>
    <n v="3"/>
    <x v="0"/>
    <x v="4"/>
    <n v="1039.56"/>
  </r>
  <r>
    <x v="488"/>
    <x v="194"/>
    <x v="488"/>
    <x v="3"/>
    <n v="1"/>
    <n v="36.65"/>
    <s v="556 Main St"/>
    <x v="1"/>
    <x v="1"/>
    <s v="TRK96522994"/>
    <n v="1"/>
    <x v="3"/>
    <x v="2"/>
    <n v="36.65"/>
  </r>
  <r>
    <x v="489"/>
    <x v="189"/>
    <x v="489"/>
    <x v="2"/>
    <n v="3"/>
    <n v="149.34"/>
    <s v="589 Main St"/>
    <x v="3"/>
    <x v="1"/>
    <s v="TRK85466461"/>
    <n v="7"/>
    <x v="3"/>
    <x v="2"/>
    <n v="448.02"/>
  </r>
  <r>
    <x v="490"/>
    <x v="319"/>
    <x v="490"/>
    <x v="3"/>
    <n v="5"/>
    <n v="467.81"/>
    <s v="539 Main St"/>
    <x v="1"/>
    <x v="1"/>
    <s v="TRK62785150"/>
    <n v="10"/>
    <x v="2"/>
    <x v="3"/>
    <n v="2339.0500000000002"/>
  </r>
  <r>
    <x v="491"/>
    <x v="314"/>
    <x v="491"/>
    <x v="1"/>
    <n v="5"/>
    <n v="420.7"/>
    <s v="481 Main St"/>
    <x v="4"/>
    <x v="4"/>
    <s v="TRK56423359"/>
    <n v="5"/>
    <x v="3"/>
    <x v="3"/>
    <n v="2103.5"/>
  </r>
  <r>
    <x v="492"/>
    <x v="385"/>
    <x v="492"/>
    <x v="5"/>
    <n v="5"/>
    <n v="606.52"/>
    <s v="103 Main St"/>
    <x v="0"/>
    <x v="0"/>
    <s v="TRK13027036"/>
    <n v="6"/>
    <x v="0"/>
    <x v="0"/>
    <n v="3032.6"/>
  </r>
  <r>
    <x v="493"/>
    <x v="386"/>
    <x v="493"/>
    <x v="1"/>
    <n v="1"/>
    <n v="420.26"/>
    <s v="372 Main St"/>
    <x v="2"/>
    <x v="4"/>
    <s v="TRK64135970"/>
    <n v="4"/>
    <x v="1"/>
    <x v="3"/>
    <n v="420.26"/>
  </r>
  <r>
    <x v="494"/>
    <x v="45"/>
    <x v="494"/>
    <x v="5"/>
    <n v="3"/>
    <n v="505.79"/>
    <s v="459 Main St"/>
    <x v="0"/>
    <x v="4"/>
    <s v="TRK63920573"/>
    <n v="3"/>
    <x v="1"/>
    <x v="1"/>
    <n v="1517.37"/>
  </r>
  <r>
    <x v="495"/>
    <x v="85"/>
    <x v="495"/>
    <x v="1"/>
    <n v="4"/>
    <n v="493.73"/>
    <s v="947 Main St"/>
    <x v="0"/>
    <x v="4"/>
    <s v="TRK35730581"/>
    <n v="6"/>
    <x v="0"/>
    <x v="3"/>
    <n v="1974.92"/>
  </r>
  <r>
    <x v="496"/>
    <x v="387"/>
    <x v="496"/>
    <x v="4"/>
    <n v="3"/>
    <n v="201.21"/>
    <s v="249 Main St"/>
    <x v="1"/>
    <x v="1"/>
    <s v="TRK66129326"/>
    <n v="3"/>
    <x v="0"/>
    <x v="4"/>
    <n v="603.63"/>
  </r>
  <r>
    <x v="497"/>
    <x v="101"/>
    <x v="497"/>
    <x v="4"/>
    <n v="3"/>
    <n v="112.29"/>
    <s v="454 Main St"/>
    <x v="3"/>
    <x v="0"/>
    <s v="TRK77358113"/>
    <n v="6"/>
    <x v="2"/>
    <x v="4"/>
    <n v="336.87"/>
  </r>
  <r>
    <x v="498"/>
    <x v="219"/>
    <x v="498"/>
    <x v="2"/>
    <n v="4"/>
    <n v="132.56"/>
    <s v="306 Main St"/>
    <x v="4"/>
    <x v="2"/>
    <s v="TRK32607173"/>
    <n v="8"/>
    <x v="3"/>
    <x v="0"/>
    <n v="530.24"/>
  </r>
  <r>
    <x v="499"/>
    <x v="388"/>
    <x v="499"/>
    <x v="4"/>
    <n v="3"/>
    <n v="539.46"/>
    <s v="520 Main St"/>
    <x v="2"/>
    <x v="0"/>
    <s v="TRK20289483"/>
    <n v="4"/>
    <x v="0"/>
    <x v="3"/>
    <n v="1618.38"/>
  </r>
  <r>
    <x v="500"/>
    <x v="158"/>
    <x v="500"/>
    <x v="5"/>
    <n v="5"/>
    <n v="508.59"/>
    <s v="169 Main St"/>
    <x v="4"/>
    <x v="2"/>
    <s v="TRK42168516"/>
    <n v="8"/>
    <x v="3"/>
    <x v="3"/>
    <n v="2542.9499999999998"/>
  </r>
  <r>
    <x v="501"/>
    <x v="389"/>
    <x v="501"/>
    <x v="6"/>
    <n v="4"/>
    <n v="203.46"/>
    <s v="226 Main St"/>
    <x v="2"/>
    <x v="4"/>
    <s v="TRK19867754"/>
    <n v="7"/>
    <x v="0"/>
    <x v="1"/>
    <n v="813.84"/>
  </r>
  <r>
    <x v="502"/>
    <x v="390"/>
    <x v="502"/>
    <x v="0"/>
    <n v="3"/>
    <n v="565.25"/>
    <s v="745 Main St"/>
    <x v="0"/>
    <x v="2"/>
    <s v="TRK65718848"/>
    <n v="7"/>
    <x v="0"/>
    <x v="2"/>
    <n v="1695.75"/>
  </r>
  <r>
    <x v="503"/>
    <x v="303"/>
    <x v="503"/>
    <x v="2"/>
    <n v="3"/>
    <n v="136.84"/>
    <s v="498 Main St"/>
    <x v="1"/>
    <x v="4"/>
    <s v="TRK95384568"/>
    <n v="4"/>
    <x v="1"/>
    <x v="3"/>
    <n v="410.52"/>
  </r>
  <r>
    <x v="504"/>
    <x v="113"/>
    <x v="504"/>
    <x v="0"/>
    <n v="2"/>
    <n v="464.5"/>
    <s v="805 Main St"/>
    <x v="1"/>
    <x v="1"/>
    <s v="TRK35726395"/>
    <n v="2"/>
    <x v="3"/>
    <x v="0"/>
    <n v="929"/>
  </r>
  <r>
    <x v="505"/>
    <x v="236"/>
    <x v="505"/>
    <x v="4"/>
    <n v="2"/>
    <n v="434.97"/>
    <s v="558 Main St"/>
    <x v="1"/>
    <x v="0"/>
    <s v="TRK97246526"/>
    <n v="7"/>
    <x v="2"/>
    <x v="2"/>
    <n v="869.94"/>
  </r>
  <r>
    <x v="506"/>
    <x v="284"/>
    <x v="506"/>
    <x v="0"/>
    <n v="2"/>
    <n v="43.67"/>
    <s v="696 Main St"/>
    <x v="4"/>
    <x v="2"/>
    <s v="TRK58039693"/>
    <n v="4"/>
    <x v="3"/>
    <x v="0"/>
    <n v="87.34"/>
  </r>
  <r>
    <x v="507"/>
    <x v="176"/>
    <x v="507"/>
    <x v="1"/>
    <n v="1"/>
    <n v="171.59"/>
    <s v="546 Main St"/>
    <x v="2"/>
    <x v="4"/>
    <s v="TRK87513944"/>
    <n v="5"/>
    <x v="3"/>
    <x v="2"/>
    <n v="171.59"/>
  </r>
  <r>
    <x v="508"/>
    <x v="391"/>
    <x v="508"/>
    <x v="1"/>
    <n v="1"/>
    <n v="558.27"/>
    <s v="976 Main St"/>
    <x v="1"/>
    <x v="3"/>
    <s v="TRK24120267"/>
    <n v="1"/>
    <x v="2"/>
    <x v="1"/>
    <n v="558.27"/>
  </r>
  <r>
    <x v="509"/>
    <x v="392"/>
    <x v="509"/>
    <x v="5"/>
    <n v="2"/>
    <n v="425.03"/>
    <s v="560 Main St"/>
    <x v="4"/>
    <x v="2"/>
    <s v="TRK31908657"/>
    <n v="2"/>
    <x v="3"/>
    <x v="4"/>
    <n v="850.06"/>
  </r>
  <r>
    <x v="510"/>
    <x v="393"/>
    <x v="510"/>
    <x v="4"/>
    <n v="1"/>
    <n v="376.76"/>
    <s v="389 Main St"/>
    <x v="0"/>
    <x v="3"/>
    <s v="TRK51288986"/>
    <n v="5"/>
    <x v="0"/>
    <x v="2"/>
    <n v="376.76"/>
  </r>
  <r>
    <x v="511"/>
    <x v="394"/>
    <x v="511"/>
    <x v="0"/>
    <n v="5"/>
    <n v="575.24"/>
    <s v="267 Main St"/>
    <x v="4"/>
    <x v="3"/>
    <s v="TRK65061457"/>
    <n v="7"/>
    <x v="3"/>
    <x v="2"/>
    <n v="2876.2"/>
  </r>
  <r>
    <x v="512"/>
    <x v="395"/>
    <x v="512"/>
    <x v="6"/>
    <n v="3"/>
    <n v="568.02"/>
    <s v="856 Main St"/>
    <x v="1"/>
    <x v="4"/>
    <s v="TRK63290700"/>
    <n v="3"/>
    <x v="1"/>
    <x v="0"/>
    <n v="1704.06"/>
  </r>
  <r>
    <x v="513"/>
    <x v="396"/>
    <x v="513"/>
    <x v="2"/>
    <n v="3"/>
    <n v="94.88"/>
    <s v="533 Main St"/>
    <x v="3"/>
    <x v="0"/>
    <s v="TRK37053575"/>
    <n v="8"/>
    <x v="2"/>
    <x v="1"/>
    <n v="284.64"/>
  </r>
  <r>
    <x v="514"/>
    <x v="397"/>
    <x v="514"/>
    <x v="4"/>
    <n v="3"/>
    <n v="304.14999999999998"/>
    <s v="492 Main St"/>
    <x v="3"/>
    <x v="0"/>
    <s v="TRK64926044"/>
    <n v="3"/>
    <x v="3"/>
    <x v="0"/>
    <n v="912.44999999999993"/>
  </r>
  <r>
    <x v="515"/>
    <x v="369"/>
    <x v="515"/>
    <x v="1"/>
    <n v="3"/>
    <n v="553.52"/>
    <s v="160 Main St"/>
    <x v="3"/>
    <x v="0"/>
    <s v="TRK75900717"/>
    <n v="4"/>
    <x v="1"/>
    <x v="3"/>
    <n v="1660.56"/>
  </r>
  <r>
    <x v="516"/>
    <x v="158"/>
    <x v="516"/>
    <x v="0"/>
    <n v="3"/>
    <n v="166.99"/>
    <s v="208 Main St"/>
    <x v="4"/>
    <x v="2"/>
    <s v="TRK28855040"/>
    <n v="8"/>
    <x v="2"/>
    <x v="3"/>
    <n v="500.97"/>
  </r>
  <r>
    <x v="517"/>
    <x v="398"/>
    <x v="517"/>
    <x v="2"/>
    <n v="4"/>
    <n v="198.35"/>
    <s v="943 Main St"/>
    <x v="4"/>
    <x v="1"/>
    <s v="TRK88141634"/>
    <n v="7"/>
    <x v="1"/>
    <x v="4"/>
    <n v="793.4"/>
  </r>
  <r>
    <x v="518"/>
    <x v="399"/>
    <x v="518"/>
    <x v="4"/>
    <n v="4"/>
    <n v="403.58"/>
    <s v="319 Main St"/>
    <x v="1"/>
    <x v="4"/>
    <s v="TRK59807273"/>
    <n v="9"/>
    <x v="0"/>
    <x v="1"/>
    <n v="1614.32"/>
  </r>
  <r>
    <x v="519"/>
    <x v="400"/>
    <x v="519"/>
    <x v="5"/>
    <n v="4"/>
    <n v="464.29"/>
    <s v="941 Main St"/>
    <x v="0"/>
    <x v="2"/>
    <s v="TRK66010667"/>
    <n v="5"/>
    <x v="0"/>
    <x v="2"/>
    <n v="1857.16"/>
  </r>
  <r>
    <x v="520"/>
    <x v="401"/>
    <x v="520"/>
    <x v="0"/>
    <n v="3"/>
    <n v="635.98"/>
    <s v="959 Main St"/>
    <x v="4"/>
    <x v="2"/>
    <s v="TRK27063398"/>
    <n v="5"/>
    <x v="2"/>
    <x v="1"/>
    <n v="1907.94"/>
  </r>
  <r>
    <x v="521"/>
    <x v="402"/>
    <x v="521"/>
    <x v="1"/>
    <n v="1"/>
    <n v="528.05999999999995"/>
    <s v="991 Main St"/>
    <x v="2"/>
    <x v="0"/>
    <s v="TRK37534165"/>
    <n v="2"/>
    <x v="2"/>
    <x v="3"/>
    <n v="528.05999999999995"/>
  </r>
  <r>
    <x v="522"/>
    <x v="322"/>
    <x v="522"/>
    <x v="3"/>
    <n v="1"/>
    <n v="515.32000000000005"/>
    <s v="740 Main St"/>
    <x v="3"/>
    <x v="1"/>
    <s v="TRK82843861"/>
    <n v="1"/>
    <x v="1"/>
    <x v="2"/>
    <n v="515.32000000000005"/>
  </r>
  <r>
    <x v="523"/>
    <x v="403"/>
    <x v="523"/>
    <x v="6"/>
    <n v="4"/>
    <n v="657.79"/>
    <s v="652 Main St"/>
    <x v="2"/>
    <x v="2"/>
    <s v="TRK60937148"/>
    <n v="6"/>
    <x v="3"/>
    <x v="4"/>
    <n v="2631.16"/>
  </r>
  <r>
    <x v="524"/>
    <x v="385"/>
    <x v="524"/>
    <x v="1"/>
    <n v="1"/>
    <n v="153"/>
    <s v="103 Main St"/>
    <x v="2"/>
    <x v="2"/>
    <s v="TRK92617366"/>
    <n v="4"/>
    <x v="2"/>
    <x v="1"/>
    <n v="153"/>
  </r>
  <r>
    <x v="525"/>
    <x v="404"/>
    <x v="525"/>
    <x v="0"/>
    <n v="1"/>
    <n v="668.48"/>
    <s v="160 Main St"/>
    <x v="0"/>
    <x v="0"/>
    <s v="TRK18061555"/>
    <n v="1"/>
    <x v="0"/>
    <x v="2"/>
    <n v="668.48"/>
  </r>
  <r>
    <x v="526"/>
    <x v="405"/>
    <x v="526"/>
    <x v="6"/>
    <n v="2"/>
    <n v="46.5"/>
    <s v="837 Main St"/>
    <x v="4"/>
    <x v="2"/>
    <s v="TRK63526023"/>
    <n v="7"/>
    <x v="3"/>
    <x v="4"/>
    <n v="93"/>
  </r>
  <r>
    <x v="527"/>
    <x v="406"/>
    <x v="527"/>
    <x v="3"/>
    <n v="5"/>
    <n v="653.47"/>
    <s v="967 Main St"/>
    <x v="2"/>
    <x v="1"/>
    <s v="TRK75406128"/>
    <n v="10"/>
    <x v="0"/>
    <x v="1"/>
    <n v="3267.35"/>
  </r>
  <r>
    <x v="528"/>
    <x v="407"/>
    <x v="528"/>
    <x v="3"/>
    <n v="1"/>
    <n v="628.89"/>
    <s v="686 Main St"/>
    <x v="2"/>
    <x v="2"/>
    <s v="TRK70997744"/>
    <n v="2"/>
    <x v="0"/>
    <x v="1"/>
    <n v="628.89"/>
  </r>
  <r>
    <x v="529"/>
    <x v="158"/>
    <x v="529"/>
    <x v="2"/>
    <n v="2"/>
    <n v="675.1"/>
    <s v="938 Main St"/>
    <x v="4"/>
    <x v="4"/>
    <s v="TRK50363421"/>
    <n v="4"/>
    <x v="1"/>
    <x v="4"/>
    <n v="1350.2"/>
  </r>
  <r>
    <x v="530"/>
    <x v="408"/>
    <x v="530"/>
    <x v="3"/>
    <n v="4"/>
    <n v="89.41"/>
    <s v="613 Main St"/>
    <x v="1"/>
    <x v="4"/>
    <s v="TRK14809530"/>
    <n v="9"/>
    <x v="2"/>
    <x v="4"/>
    <n v="357.64"/>
  </r>
  <r>
    <x v="531"/>
    <x v="367"/>
    <x v="531"/>
    <x v="6"/>
    <n v="5"/>
    <n v="320.01"/>
    <s v="722 Main St"/>
    <x v="3"/>
    <x v="3"/>
    <s v="TRK14914388"/>
    <n v="6"/>
    <x v="2"/>
    <x v="1"/>
    <n v="1600.05"/>
  </r>
  <r>
    <x v="532"/>
    <x v="120"/>
    <x v="532"/>
    <x v="5"/>
    <n v="2"/>
    <n v="41"/>
    <s v="369 Main St"/>
    <x v="1"/>
    <x v="3"/>
    <s v="TRK42207882"/>
    <n v="7"/>
    <x v="2"/>
    <x v="2"/>
    <n v="82"/>
  </r>
  <r>
    <x v="533"/>
    <x v="409"/>
    <x v="533"/>
    <x v="6"/>
    <n v="1"/>
    <n v="565.85"/>
    <s v="715 Main St"/>
    <x v="3"/>
    <x v="2"/>
    <s v="TRK63550793"/>
    <n v="1"/>
    <x v="1"/>
    <x v="3"/>
    <n v="565.85"/>
  </r>
  <r>
    <x v="534"/>
    <x v="309"/>
    <x v="534"/>
    <x v="3"/>
    <n v="3"/>
    <n v="648.59"/>
    <s v="906 Main St"/>
    <x v="0"/>
    <x v="1"/>
    <s v="TRK70872738"/>
    <n v="4"/>
    <x v="0"/>
    <x v="2"/>
    <n v="1945.77"/>
  </r>
  <r>
    <x v="535"/>
    <x v="25"/>
    <x v="535"/>
    <x v="0"/>
    <n v="3"/>
    <n v="68.12"/>
    <s v="332 Main St"/>
    <x v="1"/>
    <x v="1"/>
    <s v="TRK45821445"/>
    <n v="3"/>
    <x v="1"/>
    <x v="2"/>
    <n v="204.36"/>
  </r>
  <r>
    <x v="536"/>
    <x v="410"/>
    <x v="536"/>
    <x v="3"/>
    <n v="1"/>
    <n v="616.1"/>
    <s v="124 Main St"/>
    <x v="4"/>
    <x v="2"/>
    <s v="TRK52508861"/>
    <n v="6"/>
    <x v="2"/>
    <x v="2"/>
    <n v="616.1"/>
  </r>
  <r>
    <x v="537"/>
    <x v="411"/>
    <x v="537"/>
    <x v="2"/>
    <n v="3"/>
    <n v="247.47"/>
    <s v="385 Main St"/>
    <x v="1"/>
    <x v="3"/>
    <s v="TRK58218971"/>
    <n v="4"/>
    <x v="0"/>
    <x v="3"/>
    <n v="742.41"/>
  </r>
  <r>
    <x v="538"/>
    <x v="75"/>
    <x v="538"/>
    <x v="1"/>
    <n v="3"/>
    <n v="490.74"/>
    <s v="100 Main St"/>
    <x v="4"/>
    <x v="0"/>
    <s v="TRK95487711"/>
    <n v="3"/>
    <x v="3"/>
    <x v="2"/>
    <n v="1472.22"/>
  </r>
  <r>
    <x v="539"/>
    <x v="403"/>
    <x v="539"/>
    <x v="6"/>
    <n v="3"/>
    <n v="531.72"/>
    <s v="473 Main St"/>
    <x v="3"/>
    <x v="3"/>
    <s v="TRK17653832"/>
    <n v="7"/>
    <x v="0"/>
    <x v="4"/>
    <n v="1595.16"/>
  </r>
  <r>
    <x v="540"/>
    <x v="412"/>
    <x v="540"/>
    <x v="5"/>
    <n v="5"/>
    <n v="648.65"/>
    <s v="852 Main St"/>
    <x v="1"/>
    <x v="4"/>
    <s v="TRK81765057"/>
    <n v="7"/>
    <x v="2"/>
    <x v="1"/>
    <n v="3243.25"/>
  </r>
  <r>
    <x v="541"/>
    <x v="413"/>
    <x v="541"/>
    <x v="4"/>
    <n v="5"/>
    <n v="456.06"/>
    <s v="879 Main St"/>
    <x v="4"/>
    <x v="4"/>
    <s v="TRK61295842"/>
    <n v="10"/>
    <x v="2"/>
    <x v="0"/>
    <n v="2280.3000000000002"/>
  </r>
  <r>
    <x v="542"/>
    <x v="414"/>
    <x v="542"/>
    <x v="2"/>
    <n v="1"/>
    <n v="17.98"/>
    <s v="934 Main St"/>
    <x v="4"/>
    <x v="1"/>
    <s v="TRK20739460"/>
    <n v="6"/>
    <x v="1"/>
    <x v="2"/>
    <n v="17.98"/>
  </r>
  <r>
    <x v="543"/>
    <x v="415"/>
    <x v="543"/>
    <x v="6"/>
    <n v="5"/>
    <n v="269.86"/>
    <s v="354 Main St"/>
    <x v="4"/>
    <x v="0"/>
    <s v="TRK93877673"/>
    <n v="6"/>
    <x v="3"/>
    <x v="3"/>
    <n v="1349.3"/>
  </r>
  <r>
    <x v="544"/>
    <x v="416"/>
    <x v="544"/>
    <x v="4"/>
    <n v="5"/>
    <n v="31.96"/>
    <s v="373 Main St"/>
    <x v="2"/>
    <x v="2"/>
    <s v="TRK96334419"/>
    <n v="5"/>
    <x v="1"/>
    <x v="1"/>
    <n v="159.80000000000001"/>
  </r>
  <r>
    <x v="545"/>
    <x v="263"/>
    <x v="545"/>
    <x v="0"/>
    <n v="2"/>
    <n v="98.47"/>
    <s v="964 Main St"/>
    <x v="4"/>
    <x v="2"/>
    <s v="TRK74091695"/>
    <n v="3"/>
    <x v="2"/>
    <x v="0"/>
    <n v="196.94"/>
  </r>
  <r>
    <x v="546"/>
    <x v="417"/>
    <x v="546"/>
    <x v="0"/>
    <n v="1"/>
    <n v="158.68"/>
    <s v="928 Main St"/>
    <x v="2"/>
    <x v="2"/>
    <s v="TRK77177284"/>
    <n v="6"/>
    <x v="3"/>
    <x v="0"/>
    <n v="158.68"/>
  </r>
  <r>
    <x v="547"/>
    <x v="38"/>
    <x v="547"/>
    <x v="1"/>
    <n v="1"/>
    <n v="613.98"/>
    <s v="411 Main St"/>
    <x v="1"/>
    <x v="3"/>
    <s v="TRK25392280"/>
    <n v="4"/>
    <x v="1"/>
    <x v="3"/>
    <n v="613.98"/>
  </r>
  <r>
    <x v="548"/>
    <x v="80"/>
    <x v="548"/>
    <x v="4"/>
    <n v="3"/>
    <n v="426.12"/>
    <s v="922 Main St"/>
    <x v="1"/>
    <x v="3"/>
    <s v="TRK64398650"/>
    <n v="5"/>
    <x v="3"/>
    <x v="0"/>
    <n v="1278.3599999999999"/>
  </r>
  <r>
    <x v="549"/>
    <x v="86"/>
    <x v="549"/>
    <x v="0"/>
    <n v="4"/>
    <n v="629.88"/>
    <s v="550 Main St"/>
    <x v="0"/>
    <x v="1"/>
    <s v="TRK56378197"/>
    <n v="8"/>
    <x v="3"/>
    <x v="0"/>
    <n v="2519.52"/>
  </r>
  <r>
    <x v="550"/>
    <x v="418"/>
    <x v="550"/>
    <x v="5"/>
    <n v="4"/>
    <n v="228.91"/>
    <s v="573 Main St"/>
    <x v="4"/>
    <x v="0"/>
    <s v="TRK81794737"/>
    <n v="4"/>
    <x v="1"/>
    <x v="4"/>
    <n v="915.64"/>
  </r>
  <r>
    <x v="551"/>
    <x v="419"/>
    <x v="551"/>
    <x v="5"/>
    <n v="1"/>
    <n v="120.98"/>
    <s v="353 Main St"/>
    <x v="0"/>
    <x v="3"/>
    <s v="TRK74812710"/>
    <n v="6"/>
    <x v="3"/>
    <x v="2"/>
    <n v="120.98"/>
  </r>
  <r>
    <x v="552"/>
    <x v="420"/>
    <x v="552"/>
    <x v="3"/>
    <n v="4"/>
    <n v="425.18"/>
    <s v="560 Main St"/>
    <x v="1"/>
    <x v="2"/>
    <s v="TRK29890761"/>
    <n v="8"/>
    <x v="3"/>
    <x v="3"/>
    <n v="1700.72"/>
  </r>
  <r>
    <x v="553"/>
    <x v="421"/>
    <x v="553"/>
    <x v="1"/>
    <n v="2"/>
    <n v="333.83"/>
    <s v="828 Main St"/>
    <x v="3"/>
    <x v="1"/>
    <s v="TRK74103758"/>
    <n v="4"/>
    <x v="1"/>
    <x v="1"/>
    <n v="667.66"/>
  </r>
  <r>
    <x v="554"/>
    <x v="422"/>
    <x v="554"/>
    <x v="5"/>
    <n v="2"/>
    <n v="492.9"/>
    <s v="610 Main St"/>
    <x v="4"/>
    <x v="2"/>
    <s v="TRK66126496"/>
    <n v="5"/>
    <x v="1"/>
    <x v="0"/>
    <n v="985.8"/>
  </r>
  <r>
    <x v="555"/>
    <x v="33"/>
    <x v="555"/>
    <x v="2"/>
    <n v="1"/>
    <n v="92.04"/>
    <s v="333 Main St"/>
    <x v="4"/>
    <x v="0"/>
    <s v="TRK89306964"/>
    <n v="2"/>
    <x v="2"/>
    <x v="3"/>
    <n v="92.04"/>
  </r>
  <r>
    <x v="556"/>
    <x v="423"/>
    <x v="556"/>
    <x v="5"/>
    <n v="1"/>
    <n v="654.27"/>
    <s v="932 Main St"/>
    <x v="3"/>
    <x v="4"/>
    <s v="TRK82609328"/>
    <n v="2"/>
    <x v="0"/>
    <x v="3"/>
    <n v="654.27"/>
  </r>
  <r>
    <x v="557"/>
    <x v="282"/>
    <x v="557"/>
    <x v="2"/>
    <n v="1"/>
    <n v="56.2"/>
    <s v="130 Main St"/>
    <x v="0"/>
    <x v="4"/>
    <s v="TRK40719215"/>
    <n v="1"/>
    <x v="3"/>
    <x v="3"/>
    <n v="56.2"/>
  </r>
  <r>
    <x v="558"/>
    <x v="424"/>
    <x v="558"/>
    <x v="1"/>
    <n v="4"/>
    <n v="628.12"/>
    <s v="485 Main St"/>
    <x v="1"/>
    <x v="3"/>
    <s v="TRK32052962"/>
    <n v="6"/>
    <x v="3"/>
    <x v="0"/>
    <n v="2512.48"/>
  </r>
  <r>
    <x v="559"/>
    <x v="116"/>
    <x v="559"/>
    <x v="6"/>
    <n v="3"/>
    <n v="157.4"/>
    <s v="454 Main St"/>
    <x v="0"/>
    <x v="1"/>
    <s v="TRK10115285"/>
    <n v="7"/>
    <x v="3"/>
    <x v="2"/>
    <n v="472.2"/>
  </r>
  <r>
    <x v="560"/>
    <x v="425"/>
    <x v="560"/>
    <x v="0"/>
    <n v="4"/>
    <n v="588.85"/>
    <s v="524 Main St"/>
    <x v="3"/>
    <x v="4"/>
    <s v="TRK93168008"/>
    <n v="7"/>
    <x v="2"/>
    <x v="2"/>
    <n v="2355.4"/>
  </r>
  <r>
    <x v="561"/>
    <x v="425"/>
    <x v="561"/>
    <x v="4"/>
    <n v="2"/>
    <n v="494.78"/>
    <s v="198 Main St"/>
    <x v="1"/>
    <x v="0"/>
    <s v="TRK89180077"/>
    <n v="2"/>
    <x v="2"/>
    <x v="4"/>
    <n v="989.56"/>
  </r>
  <r>
    <x v="562"/>
    <x v="426"/>
    <x v="562"/>
    <x v="5"/>
    <n v="3"/>
    <n v="663.93"/>
    <s v="922 Main St"/>
    <x v="3"/>
    <x v="2"/>
    <s v="TRK28043915"/>
    <n v="6"/>
    <x v="1"/>
    <x v="2"/>
    <n v="1991.79"/>
  </r>
  <r>
    <x v="563"/>
    <x v="427"/>
    <x v="563"/>
    <x v="5"/>
    <n v="1"/>
    <n v="132.68"/>
    <s v="844 Main St"/>
    <x v="0"/>
    <x v="2"/>
    <s v="TRK68645763"/>
    <n v="1"/>
    <x v="0"/>
    <x v="1"/>
    <n v="132.68"/>
  </r>
  <r>
    <x v="564"/>
    <x v="428"/>
    <x v="564"/>
    <x v="6"/>
    <n v="5"/>
    <n v="364.28"/>
    <s v="734 Main St"/>
    <x v="2"/>
    <x v="1"/>
    <s v="TRK99446987"/>
    <n v="5"/>
    <x v="3"/>
    <x v="4"/>
    <n v="1821.4"/>
  </r>
  <r>
    <x v="565"/>
    <x v="429"/>
    <x v="565"/>
    <x v="2"/>
    <n v="5"/>
    <n v="307.98"/>
    <s v="214 Main St"/>
    <x v="1"/>
    <x v="4"/>
    <s v="TRK42605492"/>
    <n v="10"/>
    <x v="2"/>
    <x v="3"/>
    <n v="1539.9"/>
  </r>
  <r>
    <x v="566"/>
    <x v="171"/>
    <x v="566"/>
    <x v="1"/>
    <n v="4"/>
    <n v="162.71"/>
    <s v="167 Main St"/>
    <x v="4"/>
    <x v="1"/>
    <s v="TRK54339083"/>
    <n v="7"/>
    <x v="1"/>
    <x v="2"/>
    <n v="650.84"/>
  </r>
  <r>
    <x v="567"/>
    <x v="430"/>
    <x v="567"/>
    <x v="3"/>
    <n v="5"/>
    <n v="492.94"/>
    <s v="153 Main St"/>
    <x v="4"/>
    <x v="0"/>
    <s v="TRK53579227"/>
    <n v="10"/>
    <x v="1"/>
    <x v="2"/>
    <n v="2464.6999999999998"/>
  </r>
  <r>
    <x v="568"/>
    <x v="401"/>
    <x v="568"/>
    <x v="5"/>
    <n v="2"/>
    <n v="343.99"/>
    <s v="312 Main St"/>
    <x v="1"/>
    <x v="3"/>
    <s v="TRK72334047"/>
    <n v="4"/>
    <x v="2"/>
    <x v="4"/>
    <n v="687.98"/>
  </r>
  <r>
    <x v="569"/>
    <x v="29"/>
    <x v="569"/>
    <x v="6"/>
    <n v="5"/>
    <n v="250.68"/>
    <s v="672 Main St"/>
    <x v="4"/>
    <x v="0"/>
    <s v="TRK13289741"/>
    <n v="8"/>
    <x v="0"/>
    <x v="0"/>
    <n v="1253.4000000000001"/>
  </r>
  <r>
    <x v="570"/>
    <x v="431"/>
    <x v="570"/>
    <x v="6"/>
    <n v="2"/>
    <n v="362.14"/>
    <s v="122 Main St"/>
    <x v="0"/>
    <x v="4"/>
    <s v="TRK13611021"/>
    <n v="2"/>
    <x v="0"/>
    <x v="0"/>
    <n v="724.28"/>
  </r>
  <r>
    <x v="571"/>
    <x v="432"/>
    <x v="571"/>
    <x v="2"/>
    <n v="1"/>
    <n v="214.08"/>
    <s v="867 Main St"/>
    <x v="3"/>
    <x v="2"/>
    <s v="TRK39563288"/>
    <n v="2"/>
    <x v="3"/>
    <x v="4"/>
    <n v="214.08"/>
  </r>
  <r>
    <x v="572"/>
    <x v="433"/>
    <x v="572"/>
    <x v="4"/>
    <n v="1"/>
    <n v="70.319999999999993"/>
    <s v="341 Main St"/>
    <x v="4"/>
    <x v="2"/>
    <s v="TRK69125497"/>
    <n v="4"/>
    <x v="3"/>
    <x v="3"/>
    <n v="70.319999999999993"/>
  </r>
  <r>
    <x v="573"/>
    <x v="261"/>
    <x v="573"/>
    <x v="3"/>
    <n v="5"/>
    <n v="421.42"/>
    <s v="522 Main St"/>
    <x v="0"/>
    <x v="1"/>
    <s v="TRK30686578"/>
    <n v="7"/>
    <x v="2"/>
    <x v="0"/>
    <n v="2107.1"/>
  </r>
  <r>
    <x v="574"/>
    <x v="434"/>
    <x v="574"/>
    <x v="3"/>
    <n v="5"/>
    <n v="384.69"/>
    <s v="275 Main St"/>
    <x v="2"/>
    <x v="4"/>
    <s v="TRK97733212"/>
    <n v="6"/>
    <x v="1"/>
    <x v="2"/>
    <n v="1923.45"/>
  </r>
  <r>
    <x v="575"/>
    <x v="323"/>
    <x v="575"/>
    <x v="3"/>
    <n v="5"/>
    <n v="448.15"/>
    <s v="528 Main St"/>
    <x v="3"/>
    <x v="2"/>
    <s v="TRK61640534"/>
    <n v="7"/>
    <x v="0"/>
    <x v="4"/>
    <n v="2240.75"/>
  </r>
  <r>
    <x v="576"/>
    <x v="382"/>
    <x v="576"/>
    <x v="5"/>
    <n v="5"/>
    <n v="79.08"/>
    <s v="747 Main St"/>
    <x v="4"/>
    <x v="4"/>
    <s v="TRK42517811"/>
    <n v="8"/>
    <x v="2"/>
    <x v="3"/>
    <n v="395.4"/>
  </r>
  <r>
    <x v="577"/>
    <x v="55"/>
    <x v="577"/>
    <x v="2"/>
    <n v="4"/>
    <n v="185.41"/>
    <s v="967 Main St"/>
    <x v="1"/>
    <x v="2"/>
    <s v="TRK44401497"/>
    <n v="9"/>
    <x v="3"/>
    <x v="4"/>
    <n v="741.64"/>
  </r>
  <r>
    <x v="578"/>
    <x v="84"/>
    <x v="578"/>
    <x v="0"/>
    <n v="5"/>
    <n v="566.07000000000005"/>
    <s v="587 Main St"/>
    <x v="2"/>
    <x v="3"/>
    <s v="TRK41345634"/>
    <n v="6"/>
    <x v="0"/>
    <x v="0"/>
    <n v="2830.35"/>
  </r>
  <r>
    <x v="579"/>
    <x v="243"/>
    <x v="579"/>
    <x v="2"/>
    <n v="2"/>
    <n v="187.88"/>
    <s v="413 Main St"/>
    <x v="1"/>
    <x v="0"/>
    <s v="TRK67919507"/>
    <n v="4"/>
    <x v="3"/>
    <x v="3"/>
    <n v="375.76"/>
  </r>
  <r>
    <x v="580"/>
    <x v="414"/>
    <x v="580"/>
    <x v="0"/>
    <n v="2"/>
    <n v="255.99"/>
    <s v="340 Main St"/>
    <x v="2"/>
    <x v="3"/>
    <s v="TRK65148292"/>
    <n v="4"/>
    <x v="0"/>
    <x v="0"/>
    <n v="511.98"/>
  </r>
  <r>
    <x v="581"/>
    <x v="435"/>
    <x v="581"/>
    <x v="5"/>
    <n v="1"/>
    <n v="627.34"/>
    <s v="942 Main St"/>
    <x v="1"/>
    <x v="3"/>
    <s v="TRK87158684"/>
    <n v="1"/>
    <x v="2"/>
    <x v="1"/>
    <n v="627.34"/>
  </r>
  <r>
    <x v="582"/>
    <x v="436"/>
    <x v="582"/>
    <x v="2"/>
    <n v="3"/>
    <n v="474.14"/>
    <s v="558 Main St"/>
    <x v="3"/>
    <x v="0"/>
    <s v="TRK33860620"/>
    <n v="8"/>
    <x v="3"/>
    <x v="4"/>
    <n v="1422.42"/>
  </r>
  <r>
    <x v="583"/>
    <x v="437"/>
    <x v="583"/>
    <x v="3"/>
    <n v="3"/>
    <n v="154.37"/>
    <s v="996 Main St"/>
    <x v="3"/>
    <x v="3"/>
    <s v="TRK29750379"/>
    <n v="4"/>
    <x v="2"/>
    <x v="0"/>
    <n v="463.11"/>
  </r>
  <r>
    <x v="584"/>
    <x v="438"/>
    <x v="584"/>
    <x v="3"/>
    <n v="4"/>
    <n v="145.05000000000001"/>
    <s v="626 Main St"/>
    <x v="1"/>
    <x v="3"/>
    <s v="TRK28779938"/>
    <n v="6"/>
    <x v="0"/>
    <x v="4"/>
    <n v="580.20000000000005"/>
  </r>
  <r>
    <x v="585"/>
    <x v="38"/>
    <x v="585"/>
    <x v="2"/>
    <n v="4"/>
    <n v="67.08"/>
    <s v="907 Main St"/>
    <x v="4"/>
    <x v="2"/>
    <s v="TRK79617136"/>
    <n v="8"/>
    <x v="3"/>
    <x v="4"/>
    <n v="268.32"/>
  </r>
  <r>
    <x v="586"/>
    <x v="337"/>
    <x v="586"/>
    <x v="0"/>
    <n v="1"/>
    <n v="522.08000000000004"/>
    <s v="905 Main St"/>
    <x v="3"/>
    <x v="2"/>
    <s v="TRK98857880"/>
    <n v="5"/>
    <x v="1"/>
    <x v="1"/>
    <n v="522.08000000000004"/>
  </r>
  <r>
    <x v="587"/>
    <x v="439"/>
    <x v="587"/>
    <x v="0"/>
    <n v="5"/>
    <n v="514.6"/>
    <s v="347 Main St"/>
    <x v="3"/>
    <x v="3"/>
    <s v="TRK91547425"/>
    <n v="10"/>
    <x v="1"/>
    <x v="0"/>
    <n v="2573"/>
  </r>
  <r>
    <x v="588"/>
    <x v="440"/>
    <x v="588"/>
    <x v="0"/>
    <n v="4"/>
    <n v="577.82000000000005"/>
    <s v="811 Main St"/>
    <x v="2"/>
    <x v="3"/>
    <s v="TRK47613918"/>
    <n v="9"/>
    <x v="2"/>
    <x v="4"/>
    <n v="2311.2800000000002"/>
  </r>
  <r>
    <x v="589"/>
    <x v="441"/>
    <x v="589"/>
    <x v="5"/>
    <n v="2"/>
    <n v="500.8"/>
    <s v="900 Main St"/>
    <x v="4"/>
    <x v="3"/>
    <s v="TRK84920444"/>
    <n v="3"/>
    <x v="1"/>
    <x v="1"/>
    <n v="1001.6"/>
  </r>
  <r>
    <x v="590"/>
    <x v="442"/>
    <x v="590"/>
    <x v="4"/>
    <n v="2"/>
    <n v="461.13"/>
    <s v="175 Main St"/>
    <x v="3"/>
    <x v="2"/>
    <s v="TRK27356242"/>
    <n v="4"/>
    <x v="2"/>
    <x v="2"/>
    <n v="922.26"/>
  </r>
  <r>
    <x v="591"/>
    <x v="249"/>
    <x v="591"/>
    <x v="5"/>
    <n v="1"/>
    <n v="605.28"/>
    <s v="470 Main St"/>
    <x v="3"/>
    <x v="0"/>
    <s v="TRK50528185"/>
    <n v="3"/>
    <x v="1"/>
    <x v="1"/>
    <n v="605.28"/>
  </r>
  <r>
    <x v="592"/>
    <x v="234"/>
    <x v="592"/>
    <x v="1"/>
    <n v="3"/>
    <n v="204.27"/>
    <s v="938 Main St"/>
    <x v="1"/>
    <x v="2"/>
    <s v="TRK15499648"/>
    <n v="4"/>
    <x v="2"/>
    <x v="4"/>
    <n v="612.81000000000006"/>
  </r>
  <r>
    <x v="593"/>
    <x v="443"/>
    <x v="593"/>
    <x v="0"/>
    <n v="1"/>
    <n v="489.8"/>
    <s v="636 Main St"/>
    <x v="3"/>
    <x v="0"/>
    <s v="TRK31375086"/>
    <n v="4"/>
    <x v="1"/>
    <x v="3"/>
    <n v="489.8"/>
  </r>
  <r>
    <x v="594"/>
    <x v="444"/>
    <x v="594"/>
    <x v="1"/>
    <n v="5"/>
    <n v="72.64"/>
    <s v="598 Main St"/>
    <x v="2"/>
    <x v="1"/>
    <s v="TRK12671989"/>
    <n v="7"/>
    <x v="2"/>
    <x v="2"/>
    <n v="363.2"/>
  </r>
  <r>
    <x v="595"/>
    <x v="445"/>
    <x v="595"/>
    <x v="4"/>
    <n v="2"/>
    <n v="385.16"/>
    <s v="491 Main St"/>
    <x v="1"/>
    <x v="4"/>
    <s v="TRK83870446"/>
    <n v="7"/>
    <x v="0"/>
    <x v="2"/>
    <n v="770.32"/>
  </r>
  <r>
    <x v="596"/>
    <x v="439"/>
    <x v="596"/>
    <x v="6"/>
    <n v="3"/>
    <n v="606.41"/>
    <s v="653 Main St"/>
    <x v="0"/>
    <x v="2"/>
    <s v="TRK34504030"/>
    <n v="7"/>
    <x v="1"/>
    <x v="3"/>
    <n v="1819.23"/>
  </r>
  <r>
    <x v="597"/>
    <x v="446"/>
    <x v="597"/>
    <x v="6"/>
    <n v="2"/>
    <n v="211.82"/>
    <s v="700 Main St"/>
    <x v="3"/>
    <x v="1"/>
    <s v="TRK29821356"/>
    <n v="4"/>
    <x v="3"/>
    <x v="2"/>
    <n v="423.64"/>
  </r>
  <r>
    <x v="598"/>
    <x v="447"/>
    <x v="598"/>
    <x v="6"/>
    <n v="5"/>
    <n v="495.35"/>
    <s v="826 Main St"/>
    <x v="2"/>
    <x v="4"/>
    <s v="TRK59069987"/>
    <n v="5"/>
    <x v="2"/>
    <x v="3"/>
    <n v="2476.75"/>
  </r>
  <r>
    <x v="599"/>
    <x v="30"/>
    <x v="599"/>
    <x v="3"/>
    <n v="3"/>
    <n v="556.99"/>
    <s v="123 Main St"/>
    <x v="1"/>
    <x v="1"/>
    <s v="TRK33642221"/>
    <n v="4"/>
    <x v="1"/>
    <x v="3"/>
    <n v="1670.97"/>
  </r>
  <r>
    <x v="600"/>
    <x v="68"/>
    <x v="600"/>
    <x v="4"/>
    <n v="1"/>
    <n v="72.31"/>
    <s v="460 Main St"/>
    <x v="3"/>
    <x v="1"/>
    <s v="TRK82056333"/>
    <n v="1"/>
    <x v="1"/>
    <x v="3"/>
    <n v="72.31"/>
  </r>
  <r>
    <x v="601"/>
    <x v="276"/>
    <x v="601"/>
    <x v="0"/>
    <n v="5"/>
    <n v="24.82"/>
    <s v="529 Main St"/>
    <x v="2"/>
    <x v="0"/>
    <s v="TRK73935314"/>
    <n v="10"/>
    <x v="2"/>
    <x v="1"/>
    <n v="124.1"/>
  </r>
  <r>
    <x v="602"/>
    <x v="448"/>
    <x v="482"/>
    <x v="2"/>
    <n v="4"/>
    <n v="26.04"/>
    <s v="982 Main St"/>
    <x v="1"/>
    <x v="4"/>
    <s v="TRK64660134"/>
    <n v="5"/>
    <x v="0"/>
    <x v="0"/>
    <n v="104.16"/>
  </r>
  <r>
    <x v="603"/>
    <x v="449"/>
    <x v="602"/>
    <x v="2"/>
    <n v="1"/>
    <n v="657.07"/>
    <s v="800 Main St"/>
    <x v="4"/>
    <x v="4"/>
    <s v="TRK50900547"/>
    <n v="4"/>
    <x v="0"/>
    <x v="4"/>
    <n v="657.07"/>
  </r>
  <r>
    <x v="604"/>
    <x v="450"/>
    <x v="603"/>
    <x v="3"/>
    <n v="3"/>
    <n v="32.619999999999997"/>
    <s v="252 Main St"/>
    <x v="0"/>
    <x v="3"/>
    <s v="TRK81368481"/>
    <n v="6"/>
    <x v="2"/>
    <x v="3"/>
    <n v="97.859999999999985"/>
  </r>
  <r>
    <x v="605"/>
    <x v="451"/>
    <x v="604"/>
    <x v="0"/>
    <n v="2"/>
    <n v="228.91"/>
    <s v="892 Main St"/>
    <x v="0"/>
    <x v="0"/>
    <s v="TRK95620066"/>
    <n v="4"/>
    <x v="0"/>
    <x v="1"/>
    <n v="457.82"/>
  </r>
  <r>
    <x v="606"/>
    <x v="119"/>
    <x v="605"/>
    <x v="5"/>
    <n v="3"/>
    <n v="274.75"/>
    <s v="783 Main St"/>
    <x v="4"/>
    <x v="1"/>
    <s v="TRK54128886"/>
    <n v="3"/>
    <x v="0"/>
    <x v="4"/>
    <n v="824.25"/>
  </r>
  <r>
    <x v="607"/>
    <x v="133"/>
    <x v="606"/>
    <x v="4"/>
    <n v="4"/>
    <n v="634.04999999999995"/>
    <s v="282 Main St"/>
    <x v="4"/>
    <x v="0"/>
    <s v="TRK56730647"/>
    <n v="6"/>
    <x v="0"/>
    <x v="4"/>
    <n v="2536.1999999999998"/>
  </r>
  <r>
    <x v="608"/>
    <x v="25"/>
    <x v="607"/>
    <x v="5"/>
    <n v="5"/>
    <n v="543.16"/>
    <s v="788 Main St"/>
    <x v="1"/>
    <x v="1"/>
    <s v="TRK73140103"/>
    <n v="6"/>
    <x v="0"/>
    <x v="0"/>
    <n v="2715.8"/>
  </r>
  <r>
    <x v="609"/>
    <x v="109"/>
    <x v="608"/>
    <x v="3"/>
    <n v="3"/>
    <n v="449.13"/>
    <s v="809 Main St"/>
    <x v="4"/>
    <x v="2"/>
    <s v="TRK52732162"/>
    <n v="5"/>
    <x v="3"/>
    <x v="1"/>
    <n v="1347.39"/>
  </r>
  <r>
    <x v="610"/>
    <x v="452"/>
    <x v="609"/>
    <x v="6"/>
    <n v="5"/>
    <n v="389.62"/>
    <s v="623 Main St"/>
    <x v="4"/>
    <x v="2"/>
    <s v="TRK83566924"/>
    <n v="7"/>
    <x v="1"/>
    <x v="3"/>
    <n v="1948.1"/>
  </r>
  <r>
    <x v="611"/>
    <x v="453"/>
    <x v="610"/>
    <x v="6"/>
    <n v="1"/>
    <n v="305.17"/>
    <s v="700 Main St"/>
    <x v="3"/>
    <x v="2"/>
    <s v="TRK35720426"/>
    <n v="3"/>
    <x v="3"/>
    <x v="1"/>
    <n v="305.17"/>
  </r>
  <r>
    <x v="612"/>
    <x v="454"/>
    <x v="611"/>
    <x v="3"/>
    <n v="3"/>
    <n v="445.12"/>
    <s v="339 Main St"/>
    <x v="3"/>
    <x v="1"/>
    <s v="TRK82377939"/>
    <n v="8"/>
    <x v="2"/>
    <x v="4"/>
    <n v="1335.36"/>
  </r>
  <r>
    <x v="613"/>
    <x v="36"/>
    <x v="612"/>
    <x v="5"/>
    <n v="2"/>
    <n v="230.36"/>
    <s v="154 Main St"/>
    <x v="1"/>
    <x v="2"/>
    <s v="TRK14721763"/>
    <n v="4"/>
    <x v="3"/>
    <x v="2"/>
    <n v="460.72"/>
  </r>
  <r>
    <x v="614"/>
    <x v="455"/>
    <x v="613"/>
    <x v="1"/>
    <n v="1"/>
    <n v="96.81"/>
    <s v="807 Main St"/>
    <x v="3"/>
    <x v="1"/>
    <s v="TRK12439827"/>
    <n v="3"/>
    <x v="2"/>
    <x v="1"/>
    <n v="96.81"/>
  </r>
  <r>
    <x v="615"/>
    <x v="456"/>
    <x v="614"/>
    <x v="0"/>
    <n v="5"/>
    <n v="460.14"/>
    <s v="252 Main St"/>
    <x v="2"/>
    <x v="2"/>
    <s v="TRK52632065"/>
    <n v="10"/>
    <x v="3"/>
    <x v="3"/>
    <n v="2300.6999999999998"/>
  </r>
  <r>
    <x v="616"/>
    <x v="457"/>
    <x v="615"/>
    <x v="2"/>
    <n v="3"/>
    <n v="601.6"/>
    <s v="984 Main St"/>
    <x v="2"/>
    <x v="1"/>
    <s v="TRK73113192"/>
    <n v="7"/>
    <x v="0"/>
    <x v="3"/>
    <n v="1804.8"/>
  </r>
  <r>
    <x v="617"/>
    <x v="458"/>
    <x v="616"/>
    <x v="2"/>
    <n v="3"/>
    <n v="184.47"/>
    <s v="834 Main St"/>
    <x v="1"/>
    <x v="1"/>
    <s v="TRK75469057"/>
    <n v="4"/>
    <x v="2"/>
    <x v="1"/>
    <n v="553.41"/>
  </r>
  <r>
    <x v="618"/>
    <x v="459"/>
    <x v="617"/>
    <x v="2"/>
    <n v="1"/>
    <n v="411.34"/>
    <s v="399 Main St"/>
    <x v="0"/>
    <x v="2"/>
    <s v="TRK97981418"/>
    <n v="5"/>
    <x v="2"/>
    <x v="0"/>
    <n v="411.34"/>
  </r>
  <r>
    <x v="619"/>
    <x v="424"/>
    <x v="618"/>
    <x v="5"/>
    <n v="1"/>
    <n v="532.89"/>
    <s v="764 Main St"/>
    <x v="3"/>
    <x v="4"/>
    <s v="TRK47637374"/>
    <n v="2"/>
    <x v="2"/>
    <x v="1"/>
    <n v="532.89"/>
  </r>
  <r>
    <x v="620"/>
    <x v="460"/>
    <x v="619"/>
    <x v="2"/>
    <n v="3"/>
    <n v="136.34"/>
    <s v="866 Main St"/>
    <x v="0"/>
    <x v="2"/>
    <s v="TRK90136001"/>
    <n v="8"/>
    <x v="0"/>
    <x v="1"/>
    <n v="409.02"/>
  </r>
  <r>
    <x v="621"/>
    <x v="356"/>
    <x v="620"/>
    <x v="1"/>
    <n v="5"/>
    <n v="476.01"/>
    <s v="146 Main St"/>
    <x v="2"/>
    <x v="3"/>
    <s v="TRK82685594"/>
    <n v="7"/>
    <x v="3"/>
    <x v="4"/>
    <n v="2380.0500000000002"/>
  </r>
  <r>
    <x v="622"/>
    <x v="461"/>
    <x v="621"/>
    <x v="6"/>
    <n v="5"/>
    <n v="236.38"/>
    <s v="128 Main St"/>
    <x v="2"/>
    <x v="2"/>
    <s v="TRK89314307"/>
    <n v="7"/>
    <x v="2"/>
    <x v="3"/>
    <n v="1181.9000000000001"/>
  </r>
  <r>
    <x v="623"/>
    <x v="379"/>
    <x v="622"/>
    <x v="4"/>
    <n v="3"/>
    <n v="396"/>
    <s v="269 Main St"/>
    <x v="3"/>
    <x v="1"/>
    <s v="TRK21330732"/>
    <n v="4"/>
    <x v="1"/>
    <x v="0"/>
    <n v="1188"/>
  </r>
  <r>
    <x v="624"/>
    <x v="462"/>
    <x v="623"/>
    <x v="2"/>
    <n v="5"/>
    <n v="341.96"/>
    <s v="747 Main St"/>
    <x v="0"/>
    <x v="3"/>
    <s v="TRK88559278"/>
    <n v="6"/>
    <x v="2"/>
    <x v="2"/>
    <n v="1709.8"/>
  </r>
  <r>
    <x v="625"/>
    <x v="463"/>
    <x v="624"/>
    <x v="2"/>
    <n v="1"/>
    <n v="672.89"/>
    <s v="519 Main St"/>
    <x v="2"/>
    <x v="4"/>
    <s v="TRK43250279"/>
    <n v="1"/>
    <x v="3"/>
    <x v="2"/>
    <n v="672.89"/>
  </r>
  <r>
    <x v="626"/>
    <x v="417"/>
    <x v="625"/>
    <x v="2"/>
    <n v="2"/>
    <n v="657.48"/>
    <s v="769 Main St"/>
    <x v="1"/>
    <x v="0"/>
    <s v="TRK18179773"/>
    <n v="5"/>
    <x v="0"/>
    <x v="1"/>
    <n v="1314.96"/>
  </r>
  <r>
    <x v="627"/>
    <x v="464"/>
    <x v="626"/>
    <x v="3"/>
    <n v="3"/>
    <n v="498.68"/>
    <s v="879 Main St"/>
    <x v="1"/>
    <x v="2"/>
    <s v="TRK31724421"/>
    <n v="4"/>
    <x v="1"/>
    <x v="2"/>
    <n v="1496.04"/>
  </r>
  <r>
    <x v="628"/>
    <x v="465"/>
    <x v="627"/>
    <x v="4"/>
    <n v="5"/>
    <n v="558.63"/>
    <s v="861 Main St"/>
    <x v="4"/>
    <x v="4"/>
    <s v="TRK58568806"/>
    <n v="8"/>
    <x v="1"/>
    <x v="1"/>
    <n v="2793.15"/>
  </r>
  <r>
    <x v="629"/>
    <x v="466"/>
    <x v="628"/>
    <x v="1"/>
    <n v="3"/>
    <n v="19.73"/>
    <s v="840 Main St"/>
    <x v="1"/>
    <x v="4"/>
    <s v="TRK91836131"/>
    <n v="3"/>
    <x v="2"/>
    <x v="1"/>
    <n v="59.19"/>
  </r>
  <r>
    <x v="630"/>
    <x v="467"/>
    <x v="629"/>
    <x v="0"/>
    <n v="5"/>
    <n v="248.84"/>
    <s v="140 Main St"/>
    <x v="0"/>
    <x v="1"/>
    <s v="TRK33437701"/>
    <n v="10"/>
    <x v="2"/>
    <x v="0"/>
    <n v="1244.2"/>
  </r>
  <r>
    <x v="631"/>
    <x v="169"/>
    <x v="630"/>
    <x v="3"/>
    <n v="3"/>
    <n v="46.11"/>
    <s v="360 Main St"/>
    <x v="3"/>
    <x v="2"/>
    <s v="TRK32426808"/>
    <n v="5"/>
    <x v="3"/>
    <x v="1"/>
    <n v="138.33000000000001"/>
  </r>
  <r>
    <x v="632"/>
    <x v="468"/>
    <x v="631"/>
    <x v="5"/>
    <n v="5"/>
    <n v="678.16"/>
    <s v="463 Main St"/>
    <x v="3"/>
    <x v="3"/>
    <s v="TRK38229104"/>
    <n v="7"/>
    <x v="3"/>
    <x v="3"/>
    <n v="3390.8"/>
  </r>
  <r>
    <x v="633"/>
    <x v="294"/>
    <x v="632"/>
    <x v="5"/>
    <n v="5"/>
    <n v="601.72"/>
    <s v="921 Main St"/>
    <x v="3"/>
    <x v="1"/>
    <s v="TRK54711422"/>
    <n v="5"/>
    <x v="3"/>
    <x v="0"/>
    <n v="3008.6"/>
  </r>
  <r>
    <x v="634"/>
    <x v="313"/>
    <x v="633"/>
    <x v="4"/>
    <n v="2"/>
    <n v="259.32"/>
    <s v="117 Main St"/>
    <x v="3"/>
    <x v="3"/>
    <s v="TRK31633755"/>
    <n v="2"/>
    <x v="3"/>
    <x v="1"/>
    <n v="518.64"/>
  </r>
  <r>
    <x v="635"/>
    <x v="141"/>
    <x v="634"/>
    <x v="3"/>
    <n v="3"/>
    <n v="63.68"/>
    <s v="434 Main St"/>
    <x v="4"/>
    <x v="2"/>
    <s v="TRK40879983"/>
    <n v="6"/>
    <x v="2"/>
    <x v="3"/>
    <n v="191.04"/>
  </r>
  <r>
    <x v="636"/>
    <x v="469"/>
    <x v="635"/>
    <x v="5"/>
    <n v="4"/>
    <n v="371.07"/>
    <s v="336 Main St"/>
    <x v="4"/>
    <x v="1"/>
    <s v="TRK92080037"/>
    <n v="7"/>
    <x v="3"/>
    <x v="3"/>
    <n v="1484.28"/>
  </r>
  <r>
    <x v="637"/>
    <x v="470"/>
    <x v="636"/>
    <x v="3"/>
    <n v="4"/>
    <n v="306.35000000000002"/>
    <s v="784 Main St"/>
    <x v="3"/>
    <x v="0"/>
    <s v="TRK23585765"/>
    <n v="7"/>
    <x v="3"/>
    <x v="1"/>
    <n v="1225.4000000000001"/>
  </r>
  <r>
    <x v="638"/>
    <x v="3"/>
    <x v="637"/>
    <x v="2"/>
    <n v="4"/>
    <n v="578.27"/>
    <s v="547 Main St"/>
    <x v="1"/>
    <x v="3"/>
    <s v="TRK76929637"/>
    <n v="9"/>
    <x v="3"/>
    <x v="2"/>
    <n v="2313.08"/>
  </r>
  <r>
    <x v="639"/>
    <x v="325"/>
    <x v="638"/>
    <x v="3"/>
    <n v="1"/>
    <n v="529.19000000000005"/>
    <s v="391 Main St"/>
    <x v="4"/>
    <x v="1"/>
    <s v="TRK17415798"/>
    <n v="5"/>
    <x v="2"/>
    <x v="1"/>
    <n v="529.19000000000005"/>
  </r>
  <r>
    <x v="640"/>
    <x v="2"/>
    <x v="639"/>
    <x v="3"/>
    <n v="2"/>
    <n v="587.49"/>
    <s v="647 Main St"/>
    <x v="3"/>
    <x v="2"/>
    <s v="TRK24241664"/>
    <n v="6"/>
    <x v="0"/>
    <x v="1"/>
    <n v="1174.98"/>
  </r>
  <r>
    <x v="641"/>
    <x v="471"/>
    <x v="640"/>
    <x v="4"/>
    <n v="4"/>
    <n v="567.57000000000005"/>
    <s v="814 Main St"/>
    <x v="0"/>
    <x v="4"/>
    <s v="TRK47386650"/>
    <n v="9"/>
    <x v="3"/>
    <x v="4"/>
    <n v="2270.2800000000002"/>
  </r>
  <r>
    <x v="642"/>
    <x v="472"/>
    <x v="641"/>
    <x v="3"/>
    <n v="5"/>
    <n v="85.22"/>
    <s v="527 Main St"/>
    <x v="2"/>
    <x v="1"/>
    <s v="TRK10329390"/>
    <n v="7"/>
    <x v="1"/>
    <x v="2"/>
    <n v="426.1"/>
  </r>
  <r>
    <x v="643"/>
    <x v="360"/>
    <x v="642"/>
    <x v="5"/>
    <n v="1"/>
    <n v="438.37"/>
    <s v="647 Main St"/>
    <x v="4"/>
    <x v="1"/>
    <s v="TRK75814880"/>
    <n v="4"/>
    <x v="0"/>
    <x v="1"/>
    <n v="438.37"/>
  </r>
  <r>
    <x v="644"/>
    <x v="375"/>
    <x v="643"/>
    <x v="3"/>
    <n v="2"/>
    <n v="366.23"/>
    <s v="961 Main St"/>
    <x v="4"/>
    <x v="0"/>
    <s v="TRK62490506"/>
    <n v="2"/>
    <x v="3"/>
    <x v="2"/>
    <n v="732.46"/>
  </r>
  <r>
    <x v="645"/>
    <x v="315"/>
    <x v="644"/>
    <x v="5"/>
    <n v="2"/>
    <n v="150.05000000000001"/>
    <s v="727 Main St"/>
    <x v="2"/>
    <x v="1"/>
    <s v="TRK68574801"/>
    <n v="4"/>
    <x v="0"/>
    <x v="3"/>
    <n v="300.10000000000002"/>
  </r>
  <r>
    <x v="646"/>
    <x v="122"/>
    <x v="645"/>
    <x v="3"/>
    <n v="4"/>
    <n v="498.51"/>
    <s v="804 Main St"/>
    <x v="0"/>
    <x v="0"/>
    <s v="TRK43262630"/>
    <n v="4"/>
    <x v="0"/>
    <x v="4"/>
    <n v="1994.04"/>
  </r>
  <r>
    <x v="647"/>
    <x v="473"/>
    <x v="646"/>
    <x v="6"/>
    <n v="3"/>
    <n v="339.39"/>
    <s v="667 Main St"/>
    <x v="4"/>
    <x v="2"/>
    <s v="TRK67671316"/>
    <n v="7"/>
    <x v="1"/>
    <x v="4"/>
    <n v="1018.17"/>
  </r>
  <r>
    <x v="648"/>
    <x v="474"/>
    <x v="647"/>
    <x v="0"/>
    <n v="2"/>
    <n v="575.83000000000004"/>
    <s v="182 Main St"/>
    <x v="1"/>
    <x v="3"/>
    <s v="TRK45902512"/>
    <n v="3"/>
    <x v="3"/>
    <x v="1"/>
    <n v="1151.6600000000001"/>
  </r>
  <r>
    <x v="649"/>
    <x v="475"/>
    <x v="648"/>
    <x v="0"/>
    <n v="2"/>
    <n v="642.98"/>
    <s v="153 Main St"/>
    <x v="0"/>
    <x v="2"/>
    <s v="TRK32932093"/>
    <n v="7"/>
    <x v="1"/>
    <x v="2"/>
    <n v="1285.96"/>
  </r>
  <r>
    <x v="650"/>
    <x v="419"/>
    <x v="649"/>
    <x v="6"/>
    <n v="2"/>
    <n v="372.23"/>
    <s v="518 Main St"/>
    <x v="3"/>
    <x v="3"/>
    <s v="TRK93767278"/>
    <n v="7"/>
    <x v="0"/>
    <x v="2"/>
    <n v="744.46"/>
  </r>
  <r>
    <x v="651"/>
    <x v="476"/>
    <x v="650"/>
    <x v="3"/>
    <n v="3"/>
    <n v="646.34"/>
    <s v="429 Main St"/>
    <x v="0"/>
    <x v="4"/>
    <s v="TRK76931118"/>
    <n v="5"/>
    <x v="2"/>
    <x v="4"/>
    <n v="1939.02"/>
  </r>
  <r>
    <x v="652"/>
    <x v="477"/>
    <x v="651"/>
    <x v="3"/>
    <n v="5"/>
    <n v="341.84"/>
    <s v="328 Main St"/>
    <x v="1"/>
    <x v="0"/>
    <s v="TRK94857335"/>
    <n v="8"/>
    <x v="1"/>
    <x v="0"/>
    <n v="1709.2"/>
  </r>
  <r>
    <x v="653"/>
    <x v="402"/>
    <x v="652"/>
    <x v="4"/>
    <n v="3"/>
    <n v="690.3"/>
    <s v="747 Main St"/>
    <x v="2"/>
    <x v="0"/>
    <s v="TRK12902764"/>
    <n v="6"/>
    <x v="3"/>
    <x v="4"/>
    <n v="2070.9"/>
  </r>
  <r>
    <x v="654"/>
    <x v="439"/>
    <x v="653"/>
    <x v="2"/>
    <n v="3"/>
    <n v="382.37"/>
    <s v="863 Main St"/>
    <x v="0"/>
    <x v="2"/>
    <s v="TRK25748100"/>
    <n v="8"/>
    <x v="2"/>
    <x v="0"/>
    <n v="1147.1099999999999"/>
  </r>
  <r>
    <x v="655"/>
    <x v="369"/>
    <x v="654"/>
    <x v="3"/>
    <n v="2"/>
    <n v="132.6"/>
    <s v="262 Main St"/>
    <x v="0"/>
    <x v="1"/>
    <s v="TRK70711522"/>
    <n v="4"/>
    <x v="3"/>
    <x v="2"/>
    <n v="265.2"/>
  </r>
  <r>
    <x v="656"/>
    <x v="343"/>
    <x v="655"/>
    <x v="0"/>
    <n v="2"/>
    <n v="189.06"/>
    <s v="835 Main St"/>
    <x v="3"/>
    <x v="0"/>
    <s v="TRK85682500"/>
    <n v="7"/>
    <x v="0"/>
    <x v="3"/>
    <n v="378.12"/>
  </r>
  <r>
    <x v="657"/>
    <x v="478"/>
    <x v="656"/>
    <x v="2"/>
    <n v="4"/>
    <n v="87.79"/>
    <s v="532 Main St"/>
    <x v="4"/>
    <x v="1"/>
    <s v="TRK33207064"/>
    <n v="6"/>
    <x v="1"/>
    <x v="0"/>
    <n v="351.16"/>
  </r>
  <r>
    <x v="658"/>
    <x v="479"/>
    <x v="657"/>
    <x v="4"/>
    <n v="2"/>
    <n v="46.36"/>
    <s v="670 Main St"/>
    <x v="3"/>
    <x v="2"/>
    <s v="TRK15323191"/>
    <n v="4"/>
    <x v="0"/>
    <x v="4"/>
    <n v="92.72"/>
  </r>
  <r>
    <x v="659"/>
    <x v="480"/>
    <x v="658"/>
    <x v="1"/>
    <n v="2"/>
    <n v="642.04"/>
    <s v="964 Main St"/>
    <x v="3"/>
    <x v="3"/>
    <s v="TRK55000075"/>
    <n v="4"/>
    <x v="3"/>
    <x v="2"/>
    <n v="1284.08"/>
  </r>
  <r>
    <x v="660"/>
    <x v="481"/>
    <x v="659"/>
    <x v="3"/>
    <n v="2"/>
    <n v="651.57000000000005"/>
    <s v="933 Main St"/>
    <x v="0"/>
    <x v="0"/>
    <s v="TRK54084424"/>
    <n v="7"/>
    <x v="3"/>
    <x v="3"/>
    <n v="1303.1400000000001"/>
  </r>
  <r>
    <x v="661"/>
    <x v="252"/>
    <x v="660"/>
    <x v="2"/>
    <n v="3"/>
    <n v="424.89"/>
    <s v="116 Main St"/>
    <x v="0"/>
    <x v="1"/>
    <s v="TRK86378984"/>
    <n v="6"/>
    <x v="1"/>
    <x v="4"/>
    <n v="1274.67"/>
  </r>
  <r>
    <x v="662"/>
    <x v="423"/>
    <x v="661"/>
    <x v="5"/>
    <n v="3"/>
    <n v="438.89"/>
    <s v="985 Main St"/>
    <x v="4"/>
    <x v="2"/>
    <s v="TRK85744797"/>
    <n v="3"/>
    <x v="2"/>
    <x v="3"/>
    <n v="1316.67"/>
  </r>
  <r>
    <x v="663"/>
    <x v="116"/>
    <x v="662"/>
    <x v="0"/>
    <n v="1"/>
    <n v="72.599999999999994"/>
    <s v="941 Main St"/>
    <x v="0"/>
    <x v="1"/>
    <s v="TRK87635135"/>
    <n v="6"/>
    <x v="1"/>
    <x v="0"/>
    <n v="72.599999999999994"/>
  </r>
  <r>
    <x v="664"/>
    <x v="36"/>
    <x v="236"/>
    <x v="5"/>
    <n v="4"/>
    <n v="194.75"/>
    <s v="188 Main St"/>
    <x v="4"/>
    <x v="0"/>
    <s v="TRK46492755"/>
    <n v="5"/>
    <x v="2"/>
    <x v="3"/>
    <n v="779"/>
  </r>
  <r>
    <x v="665"/>
    <x v="468"/>
    <x v="663"/>
    <x v="2"/>
    <n v="4"/>
    <n v="231.26"/>
    <s v="253 Main St"/>
    <x v="1"/>
    <x v="0"/>
    <s v="TRK32619935"/>
    <n v="6"/>
    <x v="3"/>
    <x v="4"/>
    <n v="925.04"/>
  </r>
  <r>
    <x v="666"/>
    <x v="169"/>
    <x v="664"/>
    <x v="0"/>
    <n v="4"/>
    <n v="327.12"/>
    <s v="788 Main St"/>
    <x v="2"/>
    <x v="1"/>
    <s v="TRK45281495"/>
    <n v="4"/>
    <x v="2"/>
    <x v="2"/>
    <n v="1308.48"/>
  </r>
  <r>
    <x v="667"/>
    <x v="71"/>
    <x v="665"/>
    <x v="5"/>
    <n v="1"/>
    <n v="466.42"/>
    <s v="172 Main St"/>
    <x v="3"/>
    <x v="4"/>
    <s v="TRK41505339"/>
    <n v="5"/>
    <x v="0"/>
    <x v="2"/>
    <n v="466.42"/>
  </r>
  <r>
    <x v="668"/>
    <x v="482"/>
    <x v="666"/>
    <x v="0"/>
    <n v="2"/>
    <n v="253.67"/>
    <s v="981 Main St"/>
    <x v="4"/>
    <x v="2"/>
    <s v="TRK25226070"/>
    <n v="3"/>
    <x v="3"/>
    <x v="3"/>
    <n v="507.34"/>
  </r>
  <r>
    <x v="669"/>
    <x v="483"/>
    <x v="667"/>
    <x v="6"/>
    <n v="1"/>
    <n v="257"/>
    <s v="812 Main St"/>
    <x v="0"/>
    <x v="1"/>
    <s v="TRK65694249"/>
    <n v="5"/>
    <x v="2"/>
    <x v="1"/>
    <n v="257"/>
  </r>
  <r>
    <x v="670"/>
    <x v="171"/>
    <x v="668"/>
    <x v="6"/>
    <n v="4"/>
    <n v="539.20000000000005"/>
    <s v="747 Main St"/>
    <x v="2"/>
    <x v="4"/>
    <s v="TRK21637540"/>
    <n v="8"/>
    <x v="1"/>
    <x v="4"/>
    <n v="2156.8000000000002"/>
  </r>
  <r>
    <x v="671"/>
    <x v="484"/>
    <x v="669"/>
    <x v="3"/>
    <n v="5"/>
    <n v="50.74"/>
    <s v="737 Main St"/>
    <x v="3"/>
    <x v="1"/>
    <s v="TRK88653901"/>
    <n v="7"/>
    <x v="3"/>
    <x v="4"/>
    <n v="253.7"/>
  </r>
  <r>
    <x v="672"/>
    <x v="221"/>
    <x v="670"/>
    <x v="1"/>
    <n v="2"/>
    <n v="624.16"/>
    <s v="984 Main St"/>
    <x v="0"/>
    <x v="0"/>
    <s v="TRK71009446"/>
    <n v="2"/>
    <x v="0"/>
    <x v="0"/>
    <n v="1248.32"/>
  </r>
  <r>
    <x v="673"/>
    <x v="485"/>
    <x v="671"/>
    <x v="2"/>
    <n v="2"/>
    <n v="372.92"/>
    <s v="131 Main St"/>
    <x v="2"/>
    <x v="3"/>
    <s v="TRK95024356"/>
    <n v="7"/>
    <x v="0"/>
    <x v="2"/>
    <n v="745.84"/>
  </r>
  <r>
    <x v="674"/>
    <x v="486"/>
    <x v="672"/>
    <x v="5"/>
    <n v="4"/>
    <n v="358.75"/>
    <s v="860 Main St"/>
    <x v="3"/>
    <x v="3"/>
    <s v="TRK57792939"/>
    <n v="9"/>
    <x v="0"/>
    <x v="3"/>
    <n v="1435"/>
  </r>
  <r>
    <x v="675"/>
    <x v="76"/>
    <x v="673"/>
    <x v="6"/>
    <n v="3"/>
    <n v="342.02"/>
    <s v="906 Main St"/>
    <x v="0"/>
    <x v="4"/>
    <s v="TRK90233116"/>
    <n v="5"/>
    <x v="2"/>
    <x v="2"/>
    <n v="1026.06"/>
  </r>
  <r>
    <x v="676"/>
    <x v="127"/>
    <x v="674"/>
    <x v="5"/>
    <n v="2"/>
    <n v="422.34"/>
    <s v="985 Main St"/>
    <x v="2"/>
    <x v="1"/>
    <s v="TRK44151723"/>
    <n v="4"/>
    <x v="1"/>
    <x v="0"/>
    <n v="844.68"/>
  </r>
  <r>
    <x v="677"/>
    <x v="487"/>
    <x v="675"/>
    <x v="2"/>
    <n v="5"/>
    <n v="22.07"/>
    <s v="179 Main St"/>
    <x v="1"/>
    <x v="1"/>
    <s v="TRK78778569"/>
    <n v="7"/>
    <x v="1"/>
    <x v="0"/>
    <n v="110.35"/>
  </r>
  <r>
    <x v="678"/>
    <x v="167"/>
    <x v="676"/>
    <x v="3"/>
    <n v="3"/>
    <n v="163.13"/>
    <s v="457 Main St"/>
    <x v="3"/>
    <x v="0"/>
    <s v="TRK20553345"/>
    <n v="5"/>
    <x v="3"/>
    <x v="3"/>
    <n v="489.39"/>
  </r>
  <r>
    <x v="679"/>
    <x v="488"/>
    <x v="677"/>
    <x v="2"/>
    <n v="3"/>
    <n v="360.66"/>
    <s v="304 Main St"/>
    <x v="1"/>
    <x v="2"/>
    <s v="TRK66106697"/>
    <n v="5"/>
    <x v="1"/>
    <x v="0"/>
    <n v="1081.98"/>
  </r>
  <r>
    <x v="680"/>
    <x v="183"/>
    <x v="678"/>
    <x v="0"/>
    <n v="3"/>
    <n v="463.39"/>
    <s v="694 Main St"/>
    <x v="2"/>
    <x v="2"/>
    <s v="TRK16953491"/>
    <n v="3"/>
    <x v="2"/>
    <x v="3"/>
    <n v="1390.17"/>
  </r>
  <r>
    <x v="681"/>
    <x v="489"/>
    <x v="679"/>
    <x v="2"/>
    <n v="1"/>
    <n v="155.27000000000001"/>
    <s v="548 Main St"/>
    <x v="0"/>
    <x v="0"/>
    <s v="TRK47300502"/>
    <n v="6"/>
    <x v="2"/>
    <x v="2"/>
    <n v="155.27000000000001"/>
  </r>
  <r>
    <x v="682"/>
    <x v="363"/>
    <x v="680"/>
    <x v="0"/>
    <n v="3"/>
    <n v="509.42"/>
    <s v="449 Main St"/>
    <x v="2"/>
    <x v="1"/>
    <s v="TRK91729086"/>
    <n v="5"/>
    <x v="1"/>
    <x v="4"/>
    <n v="1528.26"/>
  </r>
  <r>
    <x v="683"/>
    <x v="490"/>
    <x v="681"/>
    <x v="6"/>
    <n v="4"/>
    <n v="652.48"/>
    <s v="887 Main St"/>
    <x v="4"/>
    <x v="4"/>
    <s v="TRK23554043"/>
    <n v="5"/>
    <x v="1"/>
    <x v="0"/>
    <n v="2609.92"/>
  </r>
  <r>
    <x v="684"/>
    <x v="491"/>
    <x v="682"/>
    <x v="4"/>
    <n v="4"/>
    <n v="34.840000000000003"/>
    <s v="288 Main St"/>
    <x v="2"/>
    <x v="0"/>
    <s v="TRK64353241"/>
    <n v="8"/>
    <x v="2"/>
    <x v="2"/>
    <n v="139.36000000000001"/>
  </r>
  <r>
    <x v="685"/>
    <x v="492"/>
    <x v="683"/>
    <x v="6"/>
    <n v="1"/>
    <n v="234.37"/>
    <s v="638 Main St"/>
    <x v="0"/>
    <x v="0"/>
    <s v="TRK10276565"/>
    <n v="5"/>
    <x v="1"/>
    <x v="2"/>
    <n v="234.37"/>
  </r>
  <r>
    <x v="686"/>
    <x v="112"/>
    <x v="684"/>
    <x v="6"/>
    <n v="3"/>
    <n v="53.6"/>
    <s v="525 Main St"/>
    <x v="4"/>
    <x v="4"/>
    <s v="TRK59112382"/>
    <n v="4"/>
    <x v="3"/>
    <x v="3"/>
    <n v="160.80000000000001"/>
  </r>
  <r>
    <x v="687"/>
    <x v="493"/>
    <x v="685"/>
    <x v="2"/>
    <n v="1"/>
    <n v="332.09"/>
    <s v="408 Main St"/>
    <x v="3"/>
    <x v="2"/>
    <s v="TRK68845230"/>
    <n v="5"/>
    <x v="1"/>
    <x v="0"/>
    <n v="332.09"/>
  </r>
  <r>
    <x v="688"/>
    <x v="26"/>
    <x v="686"/>
    <x v="0"/>
    <n v="4"/>
    <n v="593.22"/>
    <s v="154 Main St"/>
    <x v="2"/>
    <x v="1"/>
    <s v="TRK36415742"/>
    <n v="8"/>
    <x v="3"/>
    <x v="3"/>
    <n v="2372.88"/>
  </r>
  <r>
    <x v="689"/>
    <x v="193"/>
    <x v="687"/>
    <x v="2"/>
    <n v="2"/>
    <n v="444.84"/>
    <s v="787 Main St"/>
    <x v="1"/>
    <x v="0"/>
    <s v="TRK56967415"/>
    <n v="7"/>
    <x v="2"/>
    <x v="3"/>
    <n v="889.68"/>
  </r>
  <r>
    <x v="690"/>
    <x v="494"/>
    <x v="688"/>
    <x v="0"/>
    <n v="1"/>
    <n v="24.48"/>
    <s v="128 Main St"/>
    <x v="3"/>
    <x v="2"/>
    <s v="TRK88666721"/>
    <n v="1"/>
    <x v="2"/>
    <x v="0"/>
    <n v="24.48"/>
  </r>
  <r>
    <x v="691"/>
    <x v="167"/>
    <x v="689"/>
    <x v="5"/>
    <n v="3"/>
    <n v="239.08"/>
    <s v="396 Main St"/>
    <x v="4"/>
    <x v="0"/>
    <s v="TRK57376416"/>
    <n v="8"/>
    <x v="2"/>
    <x v="4"/>
    <n v="717.24"/>
  </r>
  <r>
    <x v="692"/>
    <x v="19"/>
    <x v="690"/>
    <x v="6"/>
    <n v="5"/>
    <n v="196.84"/>
    <s v="319 Main St"/>
    <x v="2"/>
    <x v="3"/>
    <s v="TRK68347402"/>
    <n v="5"/>
    <x v="3"/>
    <x v="0"/>
    <n v="984.2"/>
  </r>
  <r>
    <x v="693"/>
    <x v="495"/>
    <x v="691"/>
    <x v="0"/>
    <n v="1"/>
    <n v="176.58"/>
    <s v="674 Main St"/>
    <x v="0"/>
    <x v="2"/>
    <s v="TRK10267127"/>
    <n v="4"/>
    <x v="2"/>
    <x v="1"/>
    <n v="176.58"/>
  </r>
  <r>
    <x v="694"/>
    <x v="276"/>
    <x v="692"/>
    <x v="4"/>
    <n v="4"/>
    <n v="666.52"/>
    <s v="619 Main St"/>
    <x v="4"/>
    <x v="0"/>
    <s v="TRK32287092"/>
    <n v="8"/>
    <x v="1"/>
    <x v="2"/>
    <n v="2666.08"/>
  </r>
  <r>
    <x v="695"/>
    <x v="432"/>
    <x v="693"/>
    <x v="4"/>
    <n v="5"/>
    <n v="101.3"/>
    <s v="553 Main St"/>
    <x v="1"/>
    <x v="0"/>
    <s v="TRK48839788"/>
    <n v="7"/>
    <x v="1"/>
    <x v="2"/>
    <n v="506.5"/>
  </r>
  <r>
    <x v="696"/>
    <x v="226"/>
    <x v="694"/>
    <x v="3"/>
    <n v="4"/>
    <n v="151.19999999999999"/>
    <s v="965 Main St"/>
    <x v="3"/>
    <x v="4"/>
    <s v="TRK38572927"/>
    <n v="9"/>
    <x v="3"/>
    <x v="3"/>
    <n v="604.79999999999995"/>
  </r>
  <r>
    <x v="697"/>
    <x v="496"/>
    <x v="695"/>
    <x v="4"/>
    <n v="5"/>
    <n v="94.85"/>
    <s v="788 Main St"/>
    <x v="4"/>
    <x v="0"/>
    <s v="TRK45025840"/>
    <n v="6"/>
    <x v="3"/>
    <x v="2"/>
    <n v="474.25"/>
  </r>
  <r>
    <x v="698"/>
    <x v="0"/>
    <x v="696"/>
    <x v="5"/>
    <n v="2"/>
    <n v="388.22"/>
    <s v="169 Main St"/>
    <x v="4"/>
    <x v="3"/>
    <s v="TRK48658394"/>
    <n v="2"/>
    <x v="3"/>
    <x v="0"/>
    <n v="776.44"/>
  </r>
  <r>
    <x v="699"/>
    <x v="497"/>
    <x v="697"/>
    <x v="5"/>
    <n v="3"/>
    <n v="614.15"/>
    <s v="897 Main St"/>
    <x v="3"/>
    <x v="1"/>
    <s v="TRK84088900"/>
    <n v="3"/>
    <x v="2"/>
    <x v="3"/>
    <n v="1842.45"/>
  </r>
  <r>
    <x v="700"/>
    <x v="498"/>
    <x v="698"/>
    <x v="5"/>
    <n v="2"/>
    <n v="92.91"/>
    <s v="555 Main St"/>
    <x v="4"/>
    <x v="2"/>
    <s v="TRK30198779"/>
    <n v="3"/>
    <x v="3"/>
    <x v="0"/>
    <n v="185.82"/>
  </r>
  <r>
    <x v="701"/>
    <x v="499"/>
    <x v="699"/>
    <x v="0"/>
    <n v="3"/>
    <n v="92.22"/>
    <s v="115 Main St"/>
    <x v="2"/>
    <x v="3"/>
    <s v="TRK90519490"/>
    <n v="5"/>
    <x v="1"/>
    <x v="2"/>
    <n v="276.66000000000003"/>
  </r>
  <r>
    <x v="702"/>
    <x v="410"/>
    <x v="700"/>
    <x v="4"/>
    <n v="3"/>
    <n v="562.54999999999995"/>
    <s v="154 Main St"/>
    <x v="0"/>
    <x v="2"/>
    <s v="TRK43589369"/>
    <n v="6"/>
    <x v="2"/>
    <x v="2"/>
    <n v="1687.65"/>
  </r>
  <r>
    <x v="703"/>
    <x v="500"/>
    <x v="701"/>
    <x v="6"/>
    <n v="1"/>
    <n v="92.79"/>
    <s v="799 Main St"/>
    <x v="4"/>
    <x v="4"/>
    <s v="TRK47665103"/>
    <n v="3"/>
    <x v="3"/>
    <x v="2"/>
    <n v="92.79"/>
  </r>
  <r>
    <x v="704"/>
    <x v="301"/>
    <x v="702"/>
    <x v="6"/>
    <n v="4"/>
    <n v="30.27"/>
    <s v="819 Main St"/>
    <x v="1"/>
    <x v="3"/>
    <s v="TRK87261034"/>
    <n v="9"/>
    <x v="1"/>
    <x v="4"/>
    <n v="121.08"/>
  </r>
  <r>
    <x v="705"/>
    <x v="501"/>
    <x v="703"/>
    <x v="0"/>
    <n v="2"/>
    <n v="49.08"/>
    <s v="420 Main St"/>
    <x v="0"/>
    <x v="2"/>
    <s v="TRK20214786"/>
    <n v="7"/>
    <x v="1"/>
    <x v="0"/>
    <n v="98.16"/>
  </r>
  <r>
    <x v="706"/>
    <x v="380"/>
    <x v="704"/>
    <x v="6"/>
    <n v="5"/>
    <n v="228.09"/>
    <s v="969 Main St"/>
    <x v="3"/>
    <x v="2"/>
    <s v="TRK97693301"/>
    <n v="9"/>
    <x v="1"/>
    <x v="3"/>
    <n v="1140.45"/>
  </r>
  <r>
    <x v="707"/>
    <x v="377"/>
    <x v="705"/>
    <x v="3"/>
    <n v="4"/>
    <n v="650.04"/>
    <s v="989 Main St"/>
    <x v="3"/>
    <x v="1"/>
    <s v="TRK17628852"/>
    <n v="6"/>
    <x v="0"/>
    <x v="3"/>
    <n v="2600.16"/>
  </r>
  <r>
    <x v="708"/>
    <x v="155"/>
    <x v="706"/>
    <x v="4"/>
    <n v="1"/>
    <n v="665.11"/>
    <s v="788 Main St"/>
    <x v="4"/>
    <x v="4"/>
    <s v="TRK20481215"/>
    <n v="3"/>
    <x v="1"/>
    <x v="0"/>
    <n v="665.11"/>
  </r>
  <r>
    <x v="709"/>
    <x v="34"/>
    <x v="707"/>
    <x v="6"/>
    <n v="1"/>
    <n v="386.03"/>
    <s v="855 Main St"/>
    <x v="1"/>
    <x v="4"/>
    <s v="TRK37504692"/>
    <n v="4"/>
    <x v="1"/>
    <x v="4"/>
    <n v="386.03"/>
  </r>
  <r>
    <x v="710"/>
    <x v="319"/>
    <x v="708"/>
    <x v="5"/>
    <n v="5"/>
    <n v="21.54"/>
    <s v="113 Main St"/>
    <x v="3"/>
    <x v="2"/>
    <s v="TRK19086608"/>
    <n v="10"/>
    <x v="2"/>
    <x v="4"/>
    <n v="107.7"/>
  </r>
  <r>
    <x v="711"/>
    <x v="502"/>
    <x v="709"/>
    <x v="2"/>
    <n v="2"/>
    <n v="475.78"/>
    <s v="632 Main St"/>
    <x v="1"/>
    <x v="0"/>
    <s v="TRK90764894"/>
    <n v="2"/>
    <x v="3"/>
    <x v="4"/>
    <n v="951.56"/>
  </r>
  <r>
    <x v="712"/>
    <x v="486"/>
    <x v="557"/>
    <x v="2"/>
    <n v="2"/>
    <n v="68.400000000000006"/>
    <s v="993 Main St"/>
    <x v="3"/>
    <x v="4"/>
    <s v="TRK10513339"/>
    <n v="7"/>
    <x v="1"/>
    <x v="2"/>
    <n v="136.80000000000001"/>
  </r>
  <r>
    <x v="713"/>
    <x v="370"/>
    <x v="710"/>
    <x v="2"/>
    <n v="4"/>
    <n v="532.49"/>
    <s v="638 Main St"/>
    <x v="1"/>
    <x v="1"/>
    <s v="TRK31705278"/>
    <n v="6"/>
    <x v="0"/>
    <x v="3"/>
    <n v="2129.96"/>
  </r>
  <r>
    <x v="714"/>
    <x v="453"/>
    <x v="711"/>
    <x v="5"/>
    <n v="1"/>
    <n v="51.73"/>
    <s v="278 Main St"/>
    <x v="0"/>
    <x v="4"/>
    <s v="TRK23612847"/>
    <n v="1"/>
    <x v="1"/>
    <x v="3"/>
    <n v="51.73"/>
  </r>
  <r>
    <x v="715"/>
    <x v="503"/>
    <x v="712"/>
    <x v="4"/>
    <n v="3"/>
    <n v="653.63"/>
    <s v="281 Main St"/>
    <x v="1"/>
    <x v="3"/>
    <s v="TRK96161062"/>
    <n v="7"/>
    <x v="1"/>
    <x v="2"/>
    <n v="1960.89"/>
  </r>
  <r>
    <x v="716"/>
    <x v="136"/>
    <x v="713"/>
    <x v="3"/>
    <n v="3"/>
    <n v="454.29"/>
    <s v="891 Main St"/>
    <x v="2"/>
    <x v="4"/>
    <s v="TRK25466842"/>
    <n v="4"/>
    <x v="3"/>
    <x v="4"/>
    <n v="1362.87"/>
  </r>
  <r>
    <x v="717"/>
    <x v="504"/>
    <x v="714"/>
    <x v="3"/>
    <n v="3"/>
    <n v="122.11"/>
    <s v="707 Main St"/>
    <x v="1"/>
    <x v="3"/>
    <s v="TRK31143760"/>
    <n v="4"/>
    <x v="3"/>
    <x v="2"/>
    <n v="366.33"/>
  </r>
  <r>
    <x v="718"/>
    <x v="505"/>
    <x v="715"/>
    <x v="5"/>
    <n v="4"/>
    <n v="64.739999999999995"/>
    <s v="718 Main St"/>
    <x v="3"/>
    <x v="1"/>
    <s v="TRK91791367"/>
    <n v="8"/>
    <x v="0"/>
    <x v="4"/>
    <n v="258.95999999999998"/>
  </r>
  <r>
    <x v="719"/>
    <x v="506"/>
    <x v="716"/>
    <x v="5"/>
    <n v="2"/>
    <n v="681.06"/>
    <s v="703 Main St"/>
    <x v="0"/>
    <x v="0"/>
    <s v="TRK86403837"/>
    <n v="3"/>
    <x v="1"/>
    <x v="3"/>
    <n v="1362.12"/>
  </r>
  <r>
    <x v="720"/>
    <x v="507"/>
    <x v="717"/>
    <x v="6"/>
    <n v="5"/>
    <n v="128.94999999999999"/>
    <s v="305 Main St"/>
    <x v="4"/>
    <x v="4"/>
    <s v="TRK98506513"/>
    <n v="10"/>
    <x v="1"/>
    <x v="0"/>
    <n v="644.75"/>
  </r>
  <r>
    <x v="721"/>
    <x v="508"/>
    <x v="718"/>
    <x v="6"/>
    <n v="2"/>
    <n v="118.59"/>
    <s v="890 Main St"/>
    <x v="2"/>
    <x v="3"/>
    <s v="TRK56110689"/>
    <n v="2"/>
    <x v="2"/>
    <x v="2"/>
    <n v="237.18"/>
  </r>
  <r>
    <x v="722"/>
    <x v="64"/>
    <x v="719"/>
    <x v="4"/>
    <n v="1"/>
    <n v="95.1"/>
    <s v="516 Main St"/>
    <x v="3"/>
    <x v="4"/>
    <s v="TRK49719458"/>
    <n v="1"/>
    <x v="3"/>
    <x v="0"/>
    <n v="95.1"/>
  </r>
  <r>
    <x v="723"/>
    <x v="509"/>
    <x v="720"/>
    <x v="6"/>
    <n v="3"/>
    <n v="54.95"/>
    <s v="385 Main St"/>
    <x v="4"/>
    <x v="2"/>
    <s v="TRK50933724"/>
    <n v="8"/>
    <x v="0"/>
    <x v="1"/>
    <n v="164.85"/>
  </r>
  <r>
    <x v="724"/>
    <x v="266"/>
    <x v="721"/>
    <x v="4"/>
    <n v="3"/>
    <n v="136.97"/>
    <s v="326 Main St"/>
    <x v="2"/>
    <x v="2"/>
    <s v="TRK19348078"/>
    <n v="4"/>
    <x v="1"/>
    <x v="1"/>
    <n v="410.91"/>
  </r>
  <r>
    <x v="725"/>
    <x v="255"/>
    <x v="722"/>
    <x v="3"/>
    <n v="2"/>
    <n v="194.85"/>
    <s v="372 Main St"/>
    <x v="3"/>
    <x v="2"/>
    <s v="TRK45670926"/>
    <n v="5"/>
    <x v="2"/>
    <x v="1"/>
    <n v="389.7"/>
  </r>
  <r>
    <x v="726"/>
    <x v="510"/>
    <x v="723"/>
    <x v="5"/>
    <n v="4"/>
    <n v="583.02"/>
    <s v="338 Main St"/>
    <x v="1"/>
    <x v="3"/>
    <s v="TRK94006117"/>
    <n v="4"/>
    <x v="1"/>
    <x v="3"/>
    <n v="2332.08"/>
  </r>
  <r>
    <x v="727"/>
    <x v="470"/>
    <x v="724"/>
    <x v="3"/>
    <n v="5"/>
    <n v="95.75"/>
    <s v="379 Main St"/>
    <x v="1"/>
    <x v="0"/>
    <s v="TRK92745947"/>
    <n v="8"/>
    <x v="0"/>
    <x v="0"/>
    <n v="478.75"/>
  </r>
  <r>
    <x v="728"/>
    <x v="511"/>
    <x v="725"/>
    <x v="6"/>
    <n v="4"/>
    <n v="325.76"/>
    <s v="827 Main St"/>
    <x v="3"/>
    <x v="0"/>
    <s v="TRK79793300"/>
    <n v="8"/>
    <x v="3"/>
    <x v="2"/>
    <n v="1303.04"/>
  </r>
  <r>
    <x v="729"/>
    <x v="102"/>
    <x v="726"/>
    <x v="1"/>
    <n v="4"/>
    <n v="186.41"/>
    <s v="819 Main St"/>
    <x v="3"/>
    <x v="4"/>
    <s v="TRK92794872"/>
    <n v="6"/>
    <x v="0"/>
    <x v="4"/>
    <n v="745.64"/>
  </r>
  <r>
    <x v="730"/>
    <x v="512"/>
    <x v="727"/>
    <x v="1"/>
    <n v="1"/>
    <n v="474.6"/>
    <s v="407 Main St"/>
    <x v="0"/>
    <x v="3"/>
    <s v="TRK91943923"/>
    <n v="4"/>
    <x v="0"/>
    <x v="2"/>
    <n v="474.6"/>
  </r>
  <r>
    <x v="731"/>
    <x v="267"/>
    <x v="728"/>
    <x v="4"/>
    <n v="5"/>
    <n v="584.46"/>
    <s v="308 Main St"/>
    <x v="2"/>
    <x v="2"/>
    <s v="TRK48292586"/>
    <n v="8"/>
    <x v="2"/>
    <x v="2"/>
    <n v="2922.3"/>
  </r>
  <r>
    <x v="732"/>
    <x v="456"/>
    <x v="729"/>
    <x v="5"/>
    <n v="1"/>
    <n v="132.05000000000001"/>
    <s v="787 Main St"/>
    <x v="1"/>
    <x v="3"/>
    <s v="TRK42187776"/>
    <n v="2"/>
    <x v="2"/>
    <x v="4"/>
    <n v="132.05000000000001"/>
  </r>
  <r>
    <x v="733"/>
    <x v="513"/>
    <x v="730"/>
    <x v="2"/>
    <n v="4"/>
    <n v="494.84"/>
    <s v="694 Main St"/>
    <x v="4"/>
    <x v="2"/>
    <s v="TRK87991608"/>
    <n v="8"/>
    <x v="0"/>
    <x v="2"/>
    <n v="1979.36"/>
  </r>
  <r>
    <x v="734"/>
    <x v="514"/>
    <x v="731"/>
    <x v="4"/>
    <n v="4"/>
    <n v="224.61"/>
    <s v="630 Main St"/>
    <x v="2"/>
    <x v="2"/>
    <s v="TRK19767885"/>
    <n v="6"/>
    <x v="3"/>
    <x v="3"/>
    <n v="898.44"/>
  </r>
  <r>
    <x v="735"/>
    <x v="515"/>
    <x v="732"/>
    <x v="0"/>
    <n v="4"/>
    <n v="44.07"/>
    <s v="359 Main St"/>
    <x v="0"/>
    <x v="4"/>
    <s v="TRK13443264"/>
    <n v="6"/>
    <x v="2"/>
    <x v="2"/>
    <n v="176.28"/>
  </r>
  <r>
    <x v="736"/>
    <x v="516"/>
    <x v="733"/>
    <x v="0"/>
    <n v="5"/>
    <n v="418.53"/>
    <s v="696 Main St"/>
    <x v="2"/>
    <x v="4"/>
    <s v="TRK66186874"/>
    <n v="6"/>
    <x v="1"/>
    <x v="4"/>
    <n v="2092.65"/>
  </r>
  <r>
    <x v="737"/>
    <x v="517"/>
    <x v="734"/>
    <x v="1"/>
    <n v="4"/>
    <n v="532.87"/>
    <s v="972 Main St"/>
    <x v="4"/>
    <x v="4"/>
    <s v="TRK25501930"/>
    <n v="9"/>
    <x v="1"/>
    <x v="0"/>
    <n v="2131.48"/>
  </r>
  <r>
    <x v="738"/>
    <x v="518"/>
    <x v="735"/>
    <x v="1"/>
    <n v="2"/>
    <n v="485.37"/>
    <s v="264 Main St"/>
    <x v="2"/>
    <x v="0"/>
    <s v="TRK44998396"/>
    <n v="5"/>
    <x v="0"/>
    <x v="2"/>
    <n v="970.74"/>
  </r>
  <r>
    <x v="739"/>
    <x v="136"/>
    <x v="736"/>
    <x v="1"/>
    <n v="4"/>
    <n v="386.73"/>
    <s v="513 Main St"/>
    <x v="4"/>
    <x v="3"/>
    <s v="TRK58979275"/>
    <n v="4"/>
    <x v="0"/>
    <x v="3"/>
    <n v="1546.92"/>
  </r>
  <r>
    <x v="740"/>
    <x v="351"/>
    <x v="737"/>
    <x v="6"/>
    <n v="2"/>
    <n v="377.47"/>
    <s v="433 Main St"/>
    <x v="4"/>
    <x v="4"/>
    <s v="TRK76154554"/>
    <n v="7"/>
    <x v="2"/>
    <x v="4"/>
    <n v="754.94"/>
  </r>
  <r>
    <x v="741"/>
    <x v="185"/>
    <x v="738"/>
    <x v="0"/>
    <n v="5"/>
    <n v="332.64"/>
    <s v="945 Main St"/>
    <x v="3"/>
    <x v="3"/>
    <s v="TRK87305883"/>
    <n v="10"/>
    <x v="2"/>
    <x v="1"/>
    <n v="1663.2"/>
  </r>
  <r>
    <x v="742"/>
    <x v="519"/>
    <x v="739"/>
    <x v="5"/>
    <n v="3"/>
    <n v="699.93"/>
    <s v="726 Main St"/>
    <x v="4"/>
    <x v="2"/>
    <s v="TRK48051468"/>
    <n v="7"/>
    <x v="0"/>
    <x v="4"/>
    <n v="2099.79"/>
  </r>
  <r>
    <x v="743"/>
    <x v="430"/>
    <x v="740"/>
    <x v="0"/>
    <n v="1"/>
    <n v="576.35"/>
    <s v="549 Main St"/>
    <x v="3"/>
    <x v="2"/>
    <s v="TRK87090813"/>
    <n v="1"/>
    <x v="3"/>
    <x v="0"/>
    <n v="576.35"/>
  </r>
  <r>
    <x v="744"/>
    <x v="520"/>
    <x v="741"/>
    <x v="2"/>
    <n v="2"/>
    <n v="461.37"/>
    <s v="200 Main St"/>
    <x v="4"/>
    <x v="3"/>
    <s v="TRK98725693"/>
    <n v="5"/>
    <x v="0"/>
    <x v="4"/>
    <n v="922.74"/>
  </r>
  <r>
    <x v="745"/>
    <x v="521"/>
    <x v="742"/>
    <x v="4"/>
    <n v="4"/>
    <n v="111.3"/>
    <s v="364 Main St"/>
    <x v="0"/>
    <x v="4"/>
    <s v="TRK89906749"/>
    <n v="7"/>
    <x v="1"/>
    <x v="2"/>
    <n v="445.2"/>
  </r>
  <r>
    <x v="746"/>
    <x v="522"/>
    <x v="743"/>
    <x v="6"/>
    <n v="3"/>
    <n v="661.89"/>
    <s v="551 Main St"/>
    <x v="1"/>
    <x v="1"/>
    <s v="TRK76287027"/>
    <n v="6"/>
    <x v="3"/>
    <x v="1"/>
    <n v="1985.67"/>
  </r>
  <r>
    <x v="747"/>
    <x v="495"/>
    <x v="744"/>
    <x v="2"/>
    <n v="2"/>
    <n v="259.58"/>
    <s v="940 Main St"/>
    <x v="0"/>
    <x v="3"/>
    <s v="TRK26500181"/>
    <n v="7"/>
    <x v="1"/>
    <x v="0"/>
    <n v="519.16"/>
  </r>
  <r>
    <x v="748"/>
    <x v="523"/>
    <x v="745"/>
    <x v="2"/>
    <n v="3"/>
    <n v="70.81"/>
    <s v="249 Main St"/>
    <x v="2"/>
    <x v="0"/>
    <s v="TRK37667360"/>
    <n v="8"/>
    <x v="1"/>
    <x v="1"/>
    <n v="212.43"/>
  </r>
  <r>
    <x v="749"/>
    <x v="524"/>
    <x v="746"/>
    <x v="5"/>
    <n v="1"/>
    <n v="518.39"/>
    <s v="997 Main St"/>
    <x v="0"/>
    <x v="4"/>
    <s v="TRK88797170"/>
    <n v="4"/>
    <x v="1"/>
    <x v="0"/>
    <n v="518.39"/>
  </r>
  <r>
    <x v="750"/>
    <x v="90"/>
    <x v="747"/>
    <x v="2"/>
    <n v="4"/>
    <n v="145.41"/>
    <s v="637 Main St"/>
    <x v="2"/>
    <x v="2"/>
    <s v="TRK10295115"/>
    <n v="7"/>
    <x v="1"/>
    <x v="2"/>
    <n v="581.64"/>
  </r>
  <r>
    <x v="751"/>
    <x v="16"/>
    <x v="748"/>
    <x v="2"/>
    <n v="2"/>
    <n v="599.86"/>
    <s v="455 Main St"/>
    <x v="3"/>
    <x v="4"/>
    <s v="TRK76960854"/>
    <n v="7"/>
    <x v="1"/>
    <x v="3"/>
    <n v="1199.72"/>
  </r>
  <r>
    <x v="752"/>
    <x v="525"/>
    <x v="749"/>
    <x v="1"/>
    <n v="4"/>
    <n v="429.37"/>
    <s v="299 Main St"/>
    <x v="2"/>
    <x v="3"/>
    <s v="TRK33305694"/>
    <n v="8"/>
    <x v="1"/>
    <x v="4"/>
    <n v="1717.48"/>
  </r>
  <r>
    <x v="753"/>
    <x v="526"/>
    <x v="750"/>
    <x v="1"/>
    <n v="2"/>
    <n v="241.49"/>
    <s v="864 Main St"/>
    <x v="0"/>
    <x v="2"/>
    <s v="TRK72697796"/>
    <n v="7"/>
    <x v="1"/>
    <x v="0"/>
    <n v="482.98"/>
  </r>
  <r>
    <x v="754"/>
    <x v="133"/>
    <x v="751"/>
    <x v="4"/>
    <n v="2"/>
    <n v="452.05"/>
    <s v="983 Main St"/>
    <x v="2"/>
    <x v="2"/>
    <s v="TRK52804097"/>
    <n v="3"/>
    <x v="3"/>
    <x v="2"/>
    <n v="904.1"/>
  </r>
  <r>
    <x v="755"/>
    <x v="527"/>
    <x v="752"/>
    <x v="6"/>
    <n v="3"/>
    <n v="336.71"/>
    <s v="658 Main St"/>
    <x v="2"/>
    <x v="4"/>
    <s v="TRK60515972"/>
    <n v="4"/>
    <x v="2"/>
    <x v="2"/>
    <n v="1010.13"/>
  </r>
  <r>
    <x v="756"/>
    <x v="326"/>
    <x v="753"/>
    <x v="1"/>
    <n v="1"/>
    <n v="283.69"/>
    <s v="202 Main St"/>
    <x v="3"/>
    <x v="0"/>
    <s v="TRK93163682"/>
    <n v="6"/>
    <x v="2"/>
    <x v="4"/>
    <n v="283.69"/>
  </r>
  <r>
    <x v="757"/>
    <x v="27"/>
    <x v="754"/>
    <x v="6"/>
    <n v="1"/>
    <n v="157.72"/>
    <s v="597 Main St"/>
    <x v="0"/>
    <x v="3"/>
    <s v="TRK91105190"/>
    <n v="2"/>
    <x v="1"/>
    <x v="4"/>
    <n v="157.72"/>
  </r>
  <r>
    <x v="758"/>
    <x v="465"/>
    <x v="755"/>
    <x v="2"/>
    <n v="3"/>
    <n v="624.84"/>
    <s v="917 Main St"/>
    <x v="2"/>
    <x v="1"/>
    <s v="TRK57148510"/>
    <n v="8"/>
    <x v="3"/>
    <x v="3"/>
    <n v="1874.52"/>
  </r>
  <r>
    <x v="759"/>
    <x v="528"/>
    <x v="756"/>
    <x v="6"/>
    <n v="3"/>
    <n v="308.01"/>
    <s v="366 Main St"/>
    <x v="4"/>
    <x v="4"/>
    <s v="TRK91784124"/>
    <n v="3"/>
    <x v="1"/>
    <x v="3"/>
    <n v="924.03"/>
  </r>
  <r>
    <x v="760"/>
    <x v="403"/>
    <x v="757"/>
    <x v="6"/>
    <n v="1"/>
    <n v="39.56"/>
    <s v="283 Main St"/>
    <x v="0"/>
    <x v="1"/>
    <s v="TRK73324346"/>
    <n v="5"/>
    <x v="2"/>
    <x v="4"/>
    <n v="39.56"/>
  </r>
  <r>
    <x v="761"/>
    <x v="454"/>
    <x v="758"/>
    <x v="6"/>
    <n v="4"/>
    <n v="37.76"/>
    <s v="217 Main St"/>
    <x v="0"/>
    <x v="3"/>
    <s v="TRK67789367"/>
    <n v="7"/>
    <x v="2"/>
    <x v="4"/>
    <n v="151.04"/>
  </r>
  <r>
    <x v="762"/>
    <x v="529"/>
    <x v="759"/>
    <x v="1"/>
    <n v="3"/>
    <n v="76.959999999999994"/>
    <s v="611 Main St"/>
    <x v="4"/>
    <x v="2"/>
    <s v="TRK97621403"/>
    <n v="8"/>
    <x v="1"/>
    <x v="2"/>
    <n v="230.88"/>
  </r>
  <r>
    <x v="763"/>
    <x v="388"/>
    <x v="760"/>
    <x v="5"/>
    <n v="1"/>
    <n v="569.96"/>
    <s v="533 Main St"/>
    <x v="1"/>
    <x v="3"/>
    <s v="TRK30915955"/>
    <n v="4"/>
    <x v="1"/>
    <x v="2"/>
    <n v="569.96"/>
  </r>
  <r>
    <x v="764"/>
    <x v="416"/>
    <x v="761"/>
    <x v="5"/>
    <n v="5"/>
    <n v="627.42999999999995"/>
    <s v="806 Main St"/>
    <x v="2"/>
    <x v="1"/>
    <s v="TRK14016163"/>
    <n v="10"/>
    <x v="1"/>
    <x v="2"/>
    <n v="3137.15"/>
  </r>
  <r>
    <x v="765"/>
    <x v="426"/>
    <x v="762"/>
    <x v="5"/>
    <n v="2"/>
    <n v="534.91"/>
    <s v="281 Main St"/>
    <x v="0"/>
    <x v="2"/>
    <s v="TRK96249043"/>
    <n v="5"/>
    <x v="0"/>
    <x v="4"/>
    <n v="1069.82"/>
  </r>
  <r>
    <x v="766"/>
    <x v="55"/>
    <x v="763"/>
    <x v="4"/>
    <n v="2"/>
    <n v="278.88"/>
    <s v="494 Main St"/>
    <x v="0"/>
    <x v="4"/>
    <s v="TRK99985340"/>
    <n v="3"/>
    <x v="1"/>
    <x v="1"/>
    <n v="557.76"/>
  </r>
  <r>
    <x v="767"/>
    <x v="479"/>
    <x v="764"/>
    <x v="2"/>
    <n v="2"/>
    <n v="323.22000000000003"/>
    <s v="517 Main St"/>
    <x v="2"/>
    <x v="3"/>
    <s v="TRK80436037"/>
    <n v="7"/>
    <x v="2"/>
    <x v="0"/>
    <n v="646.44000000000005"/>
  </r>
  <r>
    <x v="768"/>
    <x v="355"/>
    <x v="765"/>
    <x v="2"/>
    <n v="5"/>
    <n v="653.46"/>
    <s v="165 Main St"/>
    <x v="4"/>
    <x v="1"/>
    <s v="TRK28918815"/>
    <n v="9"/>
    <x v="3"/>
    <x v="2"/>
    <n v="3267.3"/>
  </r>
  <r>
    <x v="769"/>
    <x v="117"/>
    <x v="766"/>
    <x v="4"/>
    <n v="4"/>
    <n v="678.55"/>
    <s v="568 Main St"/>
    <x v="4"/>
    <x v="3"/>
    <s v="TRK98691410"/>
    <n v="5"/>
    <x v="2"/>
    <x v="2"/>
    <n v="2714.2"/>
  </r>
  <r>
    <x v="770"/>
    <x v="530"/>
    <x v="767"/>
    <x v="6"/>
    <n v="1"/>
    <n v="314.38"/>
    <s v="227 Main St"/>
    <x v="1"/>
    <x v="2"/>
    <s v="TRK67733444"/>
    <n v="6"/>
    <x v="2"/>
    <x v="4"/>
    <n v="314.38"/>
  </r>
  <r>
    <x v="771"/>
    <x v="520"/>
    <x v="768"/>
    <x v="1"/>
    <n v="3"/>
    <n v="692.44"/>
    <s v="272 Main St"/>
    <x v="0"/>
    <x v="1"/>
    <s v="TRK82236408"/>
    <n v="8"/>
    <x v="1"/>
    <x v="4"/>
    <n v="2077.3200000000002"/>
  </r>
  <r>
    <x v="772"/>
    <x v="118"/>
    <x v="769"/>
    <x v="0"/>
    <n v="1"/>
    <n v="604.87"/>
    <s v="461 Main St"/>
    <x v="1"/>
    <x v="3"/>
    <s v="TRK25799478"/>
    <n v="4"/>
    <x v="2"/>
    <x v="0"/>
    <n v="604.87"/>
  </r>
  <r>
    <x v="773"/>
    <x v="164"/>
    <x v="770"/>
    <x v="1"/>
    <n v="2"/>
    <n v="512.33000000000004"/>
    <s v="415 Main St"/>
    <x v="4"/>
    <x v="1"/>
    <s v="TRK48904015"/>
    <n v="7"/>
    <x v="2"/>
    <x v="3"/>
    <n v="1024.6600000000001"/>
  </r>
  <r>
    <x v="774"/>
    <x v="198"/>
    <x v="771"/>
    <x v="3"/>
    <n v="3"/>
    <n v="20.54"/>
    <s v="257 Main St"/>
    <x v="2"/>
    <x v="1"/>
    <s v="TRK42266846"/>
    <n v="3"/>
    <x v="1"/>
    <x v="0"/>
    <n v="61.62"/>
  </r>
  <r>
    <x v="775"/>
    <x v="190"/>
    <x v="772"/>
    <x v="1"/>
    <n v="2"/>
    <n v="625.22"/>
    <s v="569 Main St"/>
    <x v="1"/>
    <x v="1"/>
    <s v="TRK22051900"/>
    <n v="5"/>
    <x v="2"/>
    <x v="4"/>
    <n v="1250.44"/>
  </r>
  <r>
    <x v="776"/>
    <x v="531"/>
    <x v="773"/>
    <x v="2"/>
    <n v="1"/>
    <n v="21.19"/>
    <s v="482 Main St"/>
    <x v="4"/>
    <x v="2"/>
    <s v="TRK10446197"/>
    <n v="5"/>
    <x v="3"/>
    <x v="4"/>
    <n v="21.19"/>
  </r>
  <r>
    <x v="777"/>
    <x v="438"/>
    <x v="774"/>
    <x v="3"/>
    <n v="5"/>
    <n v="64.489999999999995"/>
    <s v="633 Main St"/>
    <x v="1"/>
    <x v="1"/>
    <s v="TRK41967983"/>
    <n v="7"/>
    <x v="2"/>
    <x v="3"/>
    <n v="322.45"/>
  </r>
  <r>
    <x v="778"/>
    <x v="200"/>
    <x v="775"/>
    <x v="5"/>
    <n v="4"/>
    <n v="246.85"/>
    <s v="316 Main St"/>
    <x v="2"/>
    <x v="0"/>
    <s v="TRK56503740"/>
    <n v="8"/>
    <x v="3"/>
    <x v="4"/>
    <n v="987.4"/>
  </r>
  <r>
    <x v="779"/>
    <x v="142"/>
    <x v="776"/>
    <x v="1"/>
    <n v="3"/>
    <n v="588.74"/>
    <s v="751 Main St"/>
    <x v="0"/>
    <x v="4"/>
    <s v="TRK26661705"/>
    <n v="8"/>
    <x v="1"/>
    <x v="2"/>
    <n v="1766.22"/>
  </r>
  <r>
    <x v="780"/>
    <x v="74"/>
    <x v="777"/>
    <x v="5"/>
    <n v="4"/>
    <n v="184.48"/>
    <s v="661 Main St"/>
    <x v="1"/>
    <x v="1"/>
    <s v="TRK73613128"/>
    <n v="4"/>
    <x v="3"/>
    <x v="4"/>
    <n v="737.92"/>
  </r>
  <r>
    <x v="781"/>
    <x v="532"/>
    <x v="778"/>
    <x v="1"/>
    <n v="5"/>
    <n v="524.26"/>
    <s v="934 Main St"/>
    <x v="3"/>
    <x v="3"/>
    <s v="TRK51479426"/>
    <n v="5"/>
    <x v="1"/>
    <x v="1"/>
    <n v="2621.3000000000002"/>
  </r>
  <r>
    <x v="782"/>
    <x v="533"/>
    <x v="779"/>
    <x v="0"/>
    <n v="2"/>
    <n v="493.63"/>
    <s v="167 Main St"/>
    <x v="1"/>
    <x v="2"/>
    <s v="TRK50548869"/>
    <n v="6"/>
    <x v="0"/>
    <x v="1"/>
    <n v="987.26"/>
  </r>
  <r>
    <x v="783"/>
    <x v="534"/>
    <x v="780"/>
    <x v="4"/>
    <n v="1"/>
    <n v="438.34"/>
    <s v="281 Main St"/>
    <x v="3"/>
    <x v="2"/>
    <s v="TRK46990083"/>
    <n v="5"/>
    <x v="1"/>
    <x v="3"/>
    <n v="438.34"/>
  </r>
  <r>
    <x v="784"/>
    <x v="535"/>
    <x v="781"/>
    <x v="5"/>
    <n v="1"/>
    <n v="325.81"/>
    <s v="232 Main St"/>
    <x v="2"/>
    <x v="4"/>
    <s v="TRK85771230"/>
    <n v="1"/>
    <x v="3"/>
    <x v="1"/>
    <n v="325.81"/>
  </r>
  <r>
    <x v="785"/>
    <x v="536"/>
    <x v="782"/>
    <x v="3"/>
    <n v="1"/>
    <n v="176.1"/>
    <s v="342 Main St"/>
    <x v="2"/>
    <x v="4"/>
    <s v="TRK53089983"/>
    <n v="1"/>
    <x v="0"/>
    <x v="0"/>
    <n v="176.1"/>
  </r>
  <r>
    <x v="786"/>
    <x v="421"/>
    <x v="783"/>
    <x v="3"/>
    <n v="5"/>
    <n v="45.31"/>
    <s v="774 Main St"/>
    <x v="1"/>
    <x v="1"/>
    <s v="TRK99583414"/>
    <n v="8"/>
    <x v="2"/>
    <x v="1"/>
    <n v="226.55"/>
  </r>
  <r>
    <x v="787"/>
    <x v="537"/>
    <x v="784"/>
    <x v="6"/>
    <n v="4"/>
    <n v="221.96"/>
    <s v="193 Main St"/>
    <x v="4"/>
    <x v="3"/>
    <s v="TRK36841089"/>
    <n v="7"/>
    <x v="2"/>
    <x v="4"/>
    <n v="887.84"/>
  </r>
  <r>
    <x v="788"/>
    <x v="208"/>
    <x v="785"/>
    <x v="3"/>
    <n v="2"/>
    <n v="601.42999999999995"/>
    <s v="761 Main St"/>
    <x v="1"/>
    <x v="4"/>
    <s v="TRK43516112"/>
    <n v="5"/>
    <x v="1"/>
    <x v="0"/>
    <n v="1202.8599999999999"/>
  </r>
  <r>
    <x v="789"/>
    <x v="538"/>
    <x v="786"/>
    <x v="2"/>
    <n v="5"/>
    <n v="691.28"/>
    <s v="183 Main St"/>
    <x v="1"/>
    <x v="3"/>
    <s v="TRK75899752"/>
    <n v="10"/>
    <x v="0"/>
    <x v="2"/>
    <n v="3456.4"/>
  </r>
  <r>
    <x v="790"/>
    <x v="154"/>
    <x v="787"/>
    <x v="5"/>
    <n v="4"/>
    <n v="417.89"/>
    <s v="302 Main St"/>
    <x v="3"/>
    <x v="4"/>
    <s v="TRK96636009"/>
    <n v="4"/>
    <x v="2"/>
    <x v="4"/>
    <n v="1671.56"/>
  </r>
  <r>
    <x v="791"/>
    <x v="539"/>
    <x v="788"/>
    <x v="3"/>
    <n v="4"/>
    <n v="409.28"/>
    <s v="956 Main St"/>
    <x v="4"/>
    <x v="4"/>
    <s v="TRK92591237"/>
    <n v="8"/>
    <x v="2"/>
    <x v="2"/>
    <n v="1637.12"/>
  </r>
  <r>
    <x v="792"/>
    <x v="379"/>
    <x v="789"/>
    <x v="6"/>
    <n v="2"/>
    <n v="356.35"/>
    <s v="746 Main St"/>
    <x v="0"/>
    <x v="2"/>
    <s v="TRK90995294"/>
    <n v="6"/>
    <x v="3"/>
    <x v="3"/>
    <n v="712.7"/>
  </r>
  <r>
    <x v="793"/>
    <x v="116"/>
    <x v="790"/>
    <x v="3"/>
    <n v="5"/>
    <n v="170.22"/>
    <s v="769 Main St"/>
    <x v="0"/>
    <x v="3"/>
    <s v="TRK69599961"/>
    <n v="8"/>
    <x v="2"/>
    <x v="1"/>
    <n v="851.1"/>
  </r>
  <r>
    <x v="794"/>
    <x v="338"/>
    <x v="791"/>
    <x v="4"/>
    <n v="4"/>
    <n v="384.85"/>
    <s v="988 Main St"/>
    <x v="1"/>
    <x v="3"/>
    <s v="TRK77052196"/>
    <n v="9"/>
    <x v="1"/>
    <x v="0"/>
    <n v="1539.4"/>
  </r>
  <r>
    <x v="795"/>
    <x v="540"/>
    <x v="792"/>
    <x v="5"/>
    <n v="4"/>
    <n v="115.77"/>
    <s v="586 Main St"/>
    <x v="1"/>
    <x v="4"/>
    <s v="TRK41266666"/>
    <n v="7"/>
    <x v="0"/>
    <x v="0"/>
    <n v="463.08"/>
  </r>
  <r>
    <x v="796"/>
    <x v="541"/>
    <x v="793"/>
    <x v="1"/>
    <n v="3"/>
    <n v="579.54999999999995"/>
    <s v="882 Main St"/>
    <x v="3"/>
    <x v="2"/>
    <s v="TRK13349970"/>
    <n v="8"/>
    <x v="3"/>
    <x v="3"/>
    <n v="1738.65"/>
  </r>
  <r>
    <x v="797"/>
    <x v="146"/>
    <x v="794"/>
    <x v="5"/>
    <n v="2"/>
    <n v="438.76"/>
    <s v="426 Main St"/>
    <x v="0"/>
    <x v="2"/>
    <s v="TRK72557318"/>
    <n v="2"/>
    <x v="2"/>
    <x v="3"/>
    <n v="877.52"/>
  </r>
  <r>
    <x v="798"/>
    <x v="542"/>
    <x v="795"/>
    <x v="1"/>
    <n v="5"/>
    <n v="488.35"/>
    <s v="968 Main St"/>
    <x v="0"/>
    <x v="2"/>
    <s v="TRK89372013"/>
    <n v="9"/>
    <x v="1"/>
    <x v="2"/>
    <n v="2441.75"/>
  </r>
  <r>
    <x v="799"/>
    <x v="397"/>
    <x v="796"/>
    <x v="5"/>
    <n v="4"/>
    <n v="328.56"/>
    <s v="803 Main St"/>
    <x v="0"/>
    <x v="2"/>
    <s v="TRK78924436"/>
    <n v="4"/>
    <x v="1"/>
    <x v="2"/>
    <n v="1314.24"/>
  </r>
  <r>
    <x v="800"/>
    <x v="210"/>
    <x v="797"/>
    <x v="2"/>
    <n v="1"/>
    <n v="68.39"/>
    <s v="412 Main St"/>
    <x v="1"/>
    <x v="2"/>
    <s v="TRK99468332"/>
    <n v="3"/>
    <x v="3"/>
    <x v="3"/>
    <n v="68.39"/>
  </r>
  <r>
    <x v="801"/>
    <x v="71"/>
    <x v="27"/>
    <x v="4"/>
    <n v="4"/>
    <n v="595.62"/>
    <s v="738 Main St"/>
    <x v="0"/>
    <x v="4"/>
    <s v="TRK58443593"/>
    <n v="8"/>
    <x v="1"/>
    <x v="3"/>
    <n v="2382.48"/>
  </r>
  <r>
    <x v="802"/>
    <x v="11"/>
    <x v="798"/>
    <x v="3"/>
    <n v="5"/>
    <n v="644.64"/>
    <s v="205 Main St"/>
    <x v="3"/>
    <x v="1"/>
    <s v="TRK34440714"/>
    <n v="6"/>
    <x v="1"/>
    <x v="2"/>
    <n v="3223.2"/>
  </r>
  <r>
    <x v="803"/>
    <x v="38"/>
    <x v="799"/>
    <x v="0"/>
    <n v="5"/>
    <n v="397.81"/>
    <s v="223 Main St"/>
    <x v="0"/>
    <x v="2"/>
    <s v="TRK45098068"/>
    <n v="5"/>
    <x v="0"/>
    <x v="1"/>
    <n v="1989.05"/>
  </r>
  <r>
    <x v="804"/>
    <x v="543"/>
    <x v="800"/>
    <x v="3"/>
    <n v="3"/>
    <n v="236.5"/>
    <s v="916 Main St"/>
    <x v="1"/>
    <x v="3"/>
    <s v="TRK11868618"/>
    <n v="8"/>
    <x v="1"/>
    <x v="2"/>
    <n v="709.5"/>
  </r>
  <r>
    <x v="805"/>
    <x v="12"/>
    <x v="801"/>
    <x v="5"/>
    <n v="5"/>
    <n v="472.01"/>
    <s v="178 Main St"/>
    <x v="3"/>
    <x v="1"/>
    <s v="TRK14590037"/>
    <n v="10"/>
    <x v="0"/>
    <x v="2"/>
    <n v="2360.0500000000002"/>
  </r>
  <r>
    <x v="806"/>
    <x v="544"/>
    <x v="802"/>
    <x v="3"/>
    <n v="5"/>
    <n v="253.75"/>
    <s v="740 Main St"/>
    <x v="1"/>
    <x v="4"/>
    <s v="TRK13775054"/>
    <n v="9"/>
    <x v="3"/>
    <x v="0"/>
    <n v="1268.75"/>
  </r>
  <r>
    <x v="807"/>
    <x v="337"/>
    <x v="803"/>
    <x v="0"/>
    <n v="3"/>
    <n v="676.21"/>
    <s v="260 Main St"/>
    <x v="1"/>
    <x v="3"/>
    <s v="TRK70957219"/>
    <n v="5"/>
    <x v="0"/>
    <x v="4"/>
    <n v="2028.63"/>
  </r>
  <r>
    <x v="808"/>
    <x v="545"/>
    <x v="804"/>
    <x v="6"/>
    <n v="3"/>
    <n v="134.05000000000001"/>
    <s v="192 Main St"/>
    <x v="2"/>
    <x v="0"/>
    <s v="TRK80383756"/>
    <n v="3"/>
    <x v="2"/>
    <x v="4"/>
    <n v="402.15"/>
  </r>
  <r>
    <x v="809"/>
    <x v="398"/>
    <x v="805"/>
    <x v="6"/>
    <n v="5"/>
    <n v="217.43"/>
    <s v="752 Main St"/>
    <x v="0"/>
    <x v="0"/>
    <s v="TRK54385892"/>
    <n v="10"/>
    <x v="0"/>
    <x v="0"/>
    <n v="1087.1500000000001"/>
  </r>
  <r>
    <x v="810"/>
    <x v="546"/>
    <x v="806"/>
    <x v="2"/>
    <n v="1"/>
    <n v="553.55999999999995"/>
    <s v="644 Main St"/>
    <x v="2"/>
    <x v="1"/>
    <s v="TRK16749863"/>
    <n v="5"/>
    <x v="2"/>
    <x v="1"/>
    <n v="553.55999999999995"/>
  </r>
  <r>
    <x v="811"/>
    <x v="212"/>
    <x v="807"/>
    <x v="5"/>
    <n v="2"/>
    <n v="28.55"/>
    <s v="864 Main St"/>
    <x v="3"/>
    <x v="0"/>
    <s v="TRK44538305"/>
    <n v="7"/>
    <x v="0"/>
    <x v="2"/>
    <n v="57.1"/>
  </r>
  <r>
    <x v="812"/>
    <x v="547"/>
    <x v="808"/>
    <x v="1"/>
    <n v="2"/>
    <n v="255.26"/>
    <s v="803 Main St"/>
    <x v="2"/>
    <x v="1"/>
    <s v="TRK88437123"/>
    <n v="6"/>
    <x v="1"/>
    <x v="4"/>
    <n v="510.52"/>
  </r>
  <r>
    <x v="813"/>
    <x v="175"/>
    <x v="809"/>
    <x v="5"/>
    <n v="5"/>
    <n v="292.54000000000002"/>
    <s v="263 Main St"/>
    <x v="0"/>
    <x v="1"/>
    <s v="TRK36131660"/>
    <n v="8"/>
    <x v="1"/>
    <x v="2"/>
    <n v="1462.7"/>
  </r>
  <r>
    <x v="814"/>
    <x v="218"/>
    <x v="810"/>
    <x v="3"/>
    <n v="4"/>
    <n v="147.51"/>
    <s v="979 Main St"/>
    <x v="0"/>
    <x v="4"/>
    <s v="TRK21082461"/>
    <n v="4"/>
    <x v="3"/>
    <x v="0"/>
    <n v="590.04"/>
  </r>
  <r>
    <x v="815"/>
    <x v="548"/>
    <x v="811"/>
    <x v="4"/>
    <n v="3"/>
    <n v="569.84"/>
    <s v="920 Main St"/>
    <x v="3"/>
    <x v="1"/>
    <s v="TRK77539180"/>
    <n v="8"/>
    <x v="3"/>
    <x v="0"/>
    <n v="1709.52"/>
  </r>
  <r>
    <x v="816"/>
    <x v="444"/>
    <x v="812"/>
    <x v="2"/>
    <n v="5"/>
    <n v="574.79"/>
    <s v="497 Main St"/>
    <x v="2"/>
    <x v="4"/>
    <s v="TRK39058734"/>
    <n v="8"/>
    <x v="3"/>
    <x v="1"/>
    <n v="2873.95"/>
  </r>
  <r>
    <x v="817"/>
    <x v="469"/>
    <x v="813"/>
    <x v="3"/>
    <n v="4"/>
    <n v="598.19000000000005"/>
    <s v="430 Main St"/>
    <x v="2"/>
    <x v="3"/>
    <s v="TRK98883971"/>
    <n v="7"/>
    <x v="3"/>
    <x v="2"/>
    <n v="2392.7600000000002"/>
  </r>
  <r>
    <x v="818"/>
    <x v="521"/>
    <x v="814"/>
    <x v="1"/>
    <n v="4"/>
    <n v="390.84"/>
    <s v="860 Main St"/>
    <x v="2"/>
    <x v="1"/>
    <s v="TRK58781638"/>
    <n v="9"/>
    <x v="3"/>
    <x v="1"/>
    <n v="1563.36"/>
  </r>
  <r>
    <x v="819"/>
    <x v="335"/>
    <x v="815"/>
    <x v="1"/>
    <n v="2"/>
    <n v="398.45"/>
    <s v="650 Main St"/>
    <x v="0"/>
    <x v="1"/>
    <s v="TRK38104650"/>
    <n v="7"/>
    <x v="0"/>
    <x v="4"/>
    <n v="796.9"/>
  </r>
  <r>
    <x v="820"/>
    <x v="156"/>
    <x v="816"/>
    <x v="1"/>
    <n v="5"/>
    <n v="623.80999999999995"/>
    <s v="171 Main St"/>
    <x v="4"/>
    <x v="2"/>
    <s v="TRK17342157"/>
    <n v="6"/>
    <x v="1"/>
    <x v="2"/>
    <n v="3119.05"/>
  </r>
  <r>
    <x v="821"/>
    <x v="549"/>
    <x v="817"/>
    <x v="5"/>
    <n v="4"/>
    <n v="174.49"/>
    <s v="259 Main St"/>
    <x v="2"/>
    <x v="3"/>
    <s v="TRK56310345"/>
    <n v="5"/>
    <x v="0"/>
    <x v="3"/>
    <n v="697.96"/>
  </r>
  <r>
    <x v="822"/>
    <x v="175"/>
    <x v="818"/>
    <x v="1"/>
    <n v="1"/>
    <n v="479.56"/>
    <s v="923 Main St"/>
    <x v="3"/>
    <x v="2"/>
    <s v="TRK45123395"/>
    <n v="1"/>
    <x v="0"/>
    <x v="4"/>
    <n v="479.56"/>
  </r>
  <r>
    <x v="823"/>
    <x v="550"/>
    <x v="819"/>
    <x v="5"/>
    <n v="4"/>
    <n v="653.13"/>
    <s v="973 Main St"/>
    <x v="2"/>
    <x v="0"/>
    <s v="TRK83842481"/>
    <n v="8"/>
    <x v="3"/>
    <x v="0"/>
    <n v="2612.52"/>
  </r>
  <r>
    <x v="824"/>
    <x v="193"/>
    <x v="820"/>
    <x v="0"/>
    <n v="3"/>
    <n v="481.1"/>
    <s v="664 Main St"/>
    <x v="2"/>
    <x v="2"/>
    <s v="TRK12530495"/>
    <n v="3"/>
    <x v="1"/>
    <x v="3"/>
    <n v="1443.3"/>
  </r>
  <r>
    <x v="825"/>
    <x v="18"/>
    <x v="821"/>
    <x v="6"/>
    <n v="5"/>
    <n v="271.69"/>
    <s v="543 Main St"/>
    <x v="1"/>
    <x v="2"/>
    <s v="TRK88914760"/>
    <n v="7"/>
    <x v="1"/>
    <x v="0"/>
    <n v="1358.45"/>
  </r>
  <r>
    <x v="826"/>
    <x v="177"/>
    <x v="822"/>
    <x v="4"/>
    <n v="3"/>
    <n v="463.81"/>
    <s v="283 Main St"/>
    <x v="1"/>
    <x v="2"/>
    <s v="TRK32469820"/>
    <n v="8"/>
    <x v="3"/>
    <x v="2"/>
    <n v="1391.43"/>
  </r>
  <r>
    <x v="827"/>
    <x v="551"/>
    <x v="823"/>
    <x v="2"/>
    <n v="2"/>
    <n v="639.88"/>
    <s v="432 Main St"/>
    <x v="4"/>
    <x v="3"/>
    <s v="TRK58829625"/>
    <n v="5"/>
    <x v="3"/>
    <x v="0"/>
    <n v="1279.76"/>
  </r>
  <r>
    <x v="828"/>
    <x v="25"/>
    <x v="824"/>
    <x v="3"/>
    <n v="4"/>
    <n v="404.58"/>
    <s v="510 Main St"/>
    <x v="4"/>
    <x v="0"/>
    <s v="TRK64576020"/>
    <n v="5"/>
    <x v="1"/>
    <x v="0"/>
    <n v="1618.32"/>
  </r>
  <r>
    <x v="829"/>
    <x v="483"/>
    <x v="825"/>
    <x v="0"/>
    <n v="1"/>
    <n v="76.930000000000007"/>
    <s v="685 Main St"/>
    <x v="0"/>
    <x v="3"/>
    <s v="TRK68358007"/>
    <n v="6"/>
    <x v="3"/>
    <x v="0"/>
    <n v="76.930000000000007"/>
  </r>
  <r>
    <x v="830"/>
    <x v="218"/>
    <x v="826"/>
    <x v="2"/>
    <n v="4"/>
    <n v="190.64"/>
    <s v="853 Main St"/>
    <x v="4"/>
    <x v="3"/>
    <s v="TRK70028457"/>
    <n v="5"/>
    <x v="0"/>
    <x v="2"/>
    <n v="762.56"/>
  </r>
  <r>
    <x v="831"/>
    <x v="552"/>
    <x v="827"/>
    <x v="4"/>
    <n v="2"/>
    <n v="88.73"/>
    <s v="140 Main St"/>
    <x v="1"/>
    <x v="4"/>
    <s v="TRK61346824"/>
    <n v="5"/>
    <x v="2"/>
    <x v="4"/>
    <n v="177.46"/>
  </r>
  <r>
    <x v="832"/>
    <x v="553"/>
    <x v="828"/>
    <x v="3"/>
    <n v="5"/>
    <n v="485.71"/>
    <s v="903 Main St"/>
    <x v="1"/>
    <x v="4"/>
    <s v="TRK14661811"/>
    <n v="10"/>
    <x v="0"/>
    <x v="1"/>
    <n v="2428.5500000000002"/>
  </r>
  <r>
    <x v="833"/>
    <x v="387"/>
    <x v="829"/>
    <x v="1"/>
    <n v="5"/>
    <n v="78.290000000000006"/>
    <s v="508 Main St"/>
    <x v="2"/>
    <x v="0"/>
    <s v="TRK96573803"/>
    <n v="5"/>
    <x v="3"/>
    <x v="1"/>
    <n v="391.45"/>
  </r>
  <r>
    <x v="834"/>
    <x v="166"/>
    <x v="830"/>
    <x v="4"/>
    <n v="5"/>
    <n v="22.14"/>
    <s v="456 Main St"/>
    <x v="4"/>
    <x v="2"/>
    <s v="TRK22084320"/>
    <n v="10"/>
    <x v="2"/>
    <x v="0"/>
    <n v="110.7"/>
  </r>
  <r>
    <x v="835"/>
    <x v="290"/>
    <x v="831"/>
    <x v="6"/>
    <n v="1"/>
    <n v="679.65"/>
    <s v="390 Main St"/>
    <x v="0"/>
    <x v="0"/>
    <s v="TRK73888013"/>
    <n v="6"/>
    <x v="1"/>
    <x v="4"/>
    <n v="679.65"/>
  </r>
  <r>
    <x v="836"/>
    <x v="488"/>
    <x v="832"/>
    <x v="1"/>
    <n v="1"/>
    <n v="178.44"/>
    <s v="328 Main St"/>
    <x v="2"/>
    <x v="1"/>
    <s v="TRK58725886"/>
    <n v="2"/>
    <x v="1"/>
    <x v="4"/>
    <n v="178.44"/>
  </r>
  <r>
    <x v="837"/>
    <x v="554"/>
    <x v="833"/>
    <x v="3"/>
    <n v="5"/>
    <n v="655.55"/>
    <s v="282 Main St"/>
    <x v="1"/>
    <x v="3"/>
    <s v="TRK59701278"/>
    <n v="5"/>
    <x v="2"/>
    <x v="2"/>
    <n v="3277.75"/>
  </r>
  <r>
    <x v="838"/>
    <x v="166"/>
    <x v="834"/>
    <x v="6"/>
    <n v="4"/>
    <n v="577.08000000000004"/>
    <s v="384 Main St"/>
    <x v="1"/>
    <x v="4"/>
    <s v="TRK68797566"/>
    <n v="8"/>
    <x v="2"/>
    <x v="3"/>
    <n v="2308.3200000000002"/>
  </r>
  <r>
    <x v="839"/>
    <x v="318"/>
    <x v="835"/>
    <x v="3"/>
    <n v="3"/>
    <n v="197.97"/>
    <s v="551 Main St"/>
    <x v="1"/>
    <x v="1"/>
    <s v="TRK90618490"/>
    <n v="5"/>
    <x v="2"/>
    <x v="4"/>
    <n v="593.91"/>
  </r>
  <r>
    <x v="840"/>
    <x v="555"/>
    <x v="836"/>
    <x v="3"/>
    <n v="3"/>
    <n v="411.95"/>
    <s v="672 Main St"/>
    <x v="2"/>
    <x v="3"/>
    <s v="TRK88660574"/>
    <n v="7"/>
    <x v="1"/>
    <x v="1"/>
    <n v="1235.8499999999999"/>
  </r>
  <r>
    <x v="841"/>
    <x v="556"/>
    <x v="837"/>
    <x v="4"/>
    <n v="2"/>
    <n v="443.22"/>
    <s v="742 Main St"/>
    <x v="2"/>
    <x v="3"/>
    <s v="TRK51732528"/>
    <n v="5"/>
    <x v="2"/>
    <x v="3"/>
    <n v="886.44"/>
  </r>
  <r>
    <x v="842"/>
    <x v="106"/>
    <x v="838"/>
    <x v="5"/>
    <n v="3"/>
    <n v="364.14"/>
    <s v="396 Main St"/>
    <x v="1"/>
    <x v="4"/>
    <s v="TRK88312618"/>
    <n v="7"/>
    <x v="3"/>
    <x v="1"/>
    <n v="1092.42"/>
  </r>
  <r>
    <x v="843"/>
    <x v="557"/>
    <x v="839"/>
    <x v="6"/>
    <n v="3"/>
    <n v="430.06"/>
    <s v="534 Main St"/>
    <x v="3"/>
    <x v="1"/>
    <s v="TRK20961563"/>
    <n v="8"/>
    <x v="1"/>
    <x v="0"/>
    <n v="1290.18"/>
  </r>
  <r>
    <x v="844"/>
    <x v="558"/>
    <x v="840"/>
    <x v="3"/>
    <n v="1"/>
    <n v="320.92"/>
    <s v="883 Main St"/>
    <x v="1"/>
    <x v="2"/>
    <s v="TRK75984759"/>
    <n v="5"/>
    <x v="1"/>
    <x v="3"/>
    <n v="320.92"/>
  </r>
  <r>
    <x v="845"/>
    <x v="345"/>
    <x v="841"/>
    <x v="1"/>
    <n v="3"/>
    <n v="107.36"/>
    <s v="808 Main St"/>
    <x v="3"/>
    <x v="3"/>
    <s v="TRK68894675"/>
    <n v="5"/>
    <x v="1"/>
    <x v="4"/>
    <n v="322.08"/>
  </r>
  <r>
    <x v="846"/>
    <x v="502"/>
    <x v="842"/>
    <x v="6"/>
    <n v="2"/>
    <n v="359.86"/>
    <s v="646 Main St"/>
    <x v="0"/>
    <x v="1"/>
    <s v="TRK43977698"/>
    <n v="4"/>
    <x v="2"/>
    <x v="1"/>
    <n v="719.72"/>
  </r>
  <r>
    <x v="847"/>
    <x v="249"/>
    <x v="843"/>
    <x v="4"/>
    <n v="4"/>
    <n v="434.23"/>
    <s v="670 Main St"/>
    <x v="1"/>
    <x v="0"/>
    <s v="TRK90560300"/>
    <n v="8"/>
    <x v="1"/>
    <x v="2"/>
    <n v="1736.92"/>
  </r>
  <r>
    <x v="848"/>
    <x v="107"/>
    <x v="844"/>
    <x v="3"/>
    <n v="2"/>
    <n v="645.85"/>
    <s v="634 Main St"/>
    <x v="1"/>
    <x v="0"/>
    <s v="TRK18049633"/>
    <n v="5"/>
    <x v="2"/>
    <x v="1"/>
    <n v="1291.7"/>
  </r>
  <r>
    <x v="849"/>
    <x v="559"/>
    <x v="845"/>
    <x v="4"/>
    <n v="4"/>
    <n v="214.35"/>
    <s v="664 Main St"/>
    <x v="0"/>
    <x v="1"/>
    <s v="TRK12756945"/>
    <n v="7"/>
    <x v="3"/>
    <x v="1"/>
    <n v="857.4"/>
  </r>
  <r>
    <x v="850"/>
    <x v="560"/>
    <x v="846"/>
    <x v="0"/>
    <n v="3"/>
    <n v="638.5"/>
    <s v="890 Main St"/>
    <x v="0"/>
    <x v="1"/>
    <s v="TRK14832238"/>
    <n v="4"/>
    <x v="1"/>
    <x v="0"/>
    <n v="1915.5"/>
  </r>
  <r>
    <x v="851"/>
    <x v="427"/>
    <x v="847"/>
    <x v="5"/>
    <n v="1"/>
    <n v="365.57"/>
    <s v="146 Main St"/>
    <x v="1"/>
    <x v="1"/>
    <s v="TRK20814598"/>
    <n v="5"/>
    <x v="0"/>
    <x v="2"/>
    <n v="365.57"/>
  </r>
  <r>
    <x v="852"/>
    <x v="101"/>
    <x v="848"/>
    <x v="6"/>
    <n v="3"/>
    <n v="568.04999999999995"/>
    <s v="618 Main St"/>
    <x v="3"/>
    <x v="4"/>
    <s v="TRK69000497"/>
    <n v="6"/>
    <x v="0"/>
    <x v="4"/>
    <n v="1704.15"/>
  </r>
  <r>
    <x v="853"/>
    <x v="504"/>
    <x v="849"/>
    <x v="4"/>
    <n v="3"/>
    <n v="490.01"/>
    <s v="894 Main St"/>
    <x v="4"/>
    <x v="2"/>
    <s v="TRK94641152"/>
    <n v="4"/>
    <x v="0"/>
    <x v="3"/>
    <n v="1470.03"/>
  </r>
  <r>
    <x v="854"/>
    <x v="399"/>
    <x v="850"/>
    <x v="5"/>
    <n v="3"/>
    <n v="372.6"/>
    <s v="356 Main St"/>
    <x v="2"/>
    <x v="3"/>
    <s v="TRK67735987"/>
    <n v="7"/>
    <x v="3"/>
    <x v="1"/>
    <n v="1117.8"/>
  </r>
  <r>
    <x v="855"/>
    <x v="551"/>
    <x v="851"/>
    <x v="0"/>
    <n v="5"/>
    <n v="240.61"/>
    <s v="785 Main St"/>
    <x v="2"/>
    <x v="0"/>
    <s v="TRK94198179"/>
    <n v="10"/>
    <x v="1"/>
    <x v="2"/>
    <n v="1203.05"/>
  </r>
  <r>
    <x v="856"/>
    <x v="561"/>
    <x v="852"/>
    <x v="1"/>
    <n v="1"/>
    <n v="586.62"/>
    <s v="871 Main St"/>
    <x v="0"/>
    <x v="0"/>
    <s v="TRK95768773"/>
    <n v="5"/>
    <x v="2"/>
    <x v="3"/>
    <n v="586.62"/>
  </r>
  <r>
    <x v="857"/>
    <x v="416"/>
    <x v="853"/>
    <x v="1"/>
    <n v="3"/>
    <n v="257.83999999999997"/>
    <s v="185 Main St"/>
    <x v="1"/>
    <x v="3"/>
    <s v="TRK86808324"/>
    <n v="4"/>
    <x v="2"/>
    <x v="0"/>
    <n v="773.52"/>
  </r>
  <r>
    <x v="858"/>
    <x v="38"/>
    <x v="854"/>
    <x v="2"/>
    <n v="5"/>
    <n v="435.66"/>
    <s v="891 Main St"/>
    <x v="1"/>
    <x v="4"/>
    <s v="TRK70269748"/>
    <n v="9"/>
    <x v="2"/>
    <x v="3"/>
    <n v="2178.3000000000002"/>
  </r>
  <r>
    <x v="859"/>
    <x v="562"/>
    <x v="855"/>
    <x v="3"/>
    <n v="5"/>
    <n v="261.33"/>
    <s v="154 Main St"/>
    <x v="2"/>
    <x v="2"/>
    <s v="TRK73285507"/>
    <n v="5"/>
    <x v="0"/>
    <x v="1"/>
    <n v="1306.6500000000001"/>
  </r>
  <r>
    <x v="860"/>
    <x v="514"/>
    <x v="856"/>
    <x v="4"/>
    <n v="1"/>
    <n v="422.54"/>
    <s v="876 Main St"/>
    <x v="4"/>
    <x v="3"/>
    <s v="TRK20746505"/>
    <n v="1"/>
    <x v="0"/>
    <x v="4"/>
    <n v="422.54"/>
  </r>
  <r>
    <x v="861"/>
    <x v="111"/>
    <x v="857"/>
    <x v="6"/>
    <n v="5"/>
    <n v="330.45"/>
    <s v="230 Main St"/>
    <x v="3"/>
    <x v="0"/>
    <s v="TRK44165913"/>
    <n v="10"/>
    <x v="1"/>
    <x v="4"/>
    <n v="1652.25"/>
  </r>
  <r>
    <x v="862"/>
    <x v="278"/>
    <x v="858"/>
    <x v="6"/>
    <n v="3"/>
    <n v="120.82"/>
    <s v="799 Main St"/>
    <x v="2"/>
    <x v="0"/>
    <s v="TRK69852386"/>
    <n v="5"/>
    <x v="0"/>
    <x v="1"/>
    <n v="362.46"/>
  </r>
  <r>
    <x v="863"/>
    <x v="199"/>
    <x v="859"/>
    <x v="1"/>
    <n v="1"/>
    <n v="14.06"/>
    <s v="471 Main St"/>
    <x v="2"/>
    <x v="4"/>
    <s v="TRK74207282"/>
    <n v="5"/>
    <x v="0"/>
    <x v="1"/>
    <n v="14.06"/>
  </r>
  <r>
    <x v="864"/>
    <x v="71"/>
    <x v="860"/>
    <x v="6"/>
    <n v="1"/>
    <n v="491.11"/>
    <s v="592 Main St"/>
    <x v="2"/>
    <x v="3"/>
    <s v="TRK58095246"/>
    <n v="4"/>
    <x v="0"/>
    <x v="3"/>
    <n v="491.11"/>
  </r>
  <r>
    <x v="865"/>
    <x v="563"/>
    <x v="861"/>
    <x v="0"/>
    <n v="4"/>
    <n v="677.37"/>
    <s v="156 Main St"/>
    <x v="4"/>
    <x v="4"/>
    <s v="TRK76270481"/>
    <n v="8"/>
    <x v="0"/>
    <x v="4"/>
    <n v="2709.48"/>
  </r>
  <r>
    <x v="866"/>
    <x v="503"/>
    <x v="862"/>
    <x v="6"/>
    <n v="5"/>
    <n v="189.25"/>
    <s v="693 Main St"/>
    <x v="0"/>
    <x v="1"/>
    <s v="TRK39917741"/>
    <n v="10"/>
    <x v="3"/>
    <x v="2"/>
    <n v="946.25"/>
  </r>
  <r>
    <x v="867"/>
    <x v="564"/>
    <x v="863"/>
    <x v="4"/>
    <n v="4"/>
    <n v="142.58000000000001"/>
    <s v="351 Main St"/>
    <x v="4"/>
    <x v="3"/>
    <s v="TRK65831261"/>
    <n v="4"/>
    <x v="1"/>
    <x v="3"/>
    <n v="570.32000000000005"/>
  </r>
  <r>
    <x v="868"/>
    <x v="310"/>
    <x v="864"/>
    <x v="0"/>
    <n v="4"/>
    <n v="316.32"/>
    <s v="309 Main St"/>
    <x v="0"/>
    <x v="3"/>
    <s v="TRK42985882"/>
    <n v="7"/>
    <x v="2"/>
    <x v="3"/>
    <n v="1265.28"/>
  </r>
  <r>
    <x v="869"/>
    <x v="537"/>
    <x v="865"/>
    <x v="6"/>
    <n v="2"/>
    <n v="533.95000000000005"/>
    <s v="790 Main St"/>
    <x v="1"/>
    <x v="3"/>
    <s v="TRK16788127"/>
    <n v="5"/>
    <x v="3"/>
    <x v="4"/>
    <n v="1067.9000000000001"/>
  </r>
  <r>
    <x v="870"/>
    <x v="565"/>
    <x v="866"/>
    <x v="1"/>
    <n v="4"/>
    <n v="470.09"/>
    <s v="541 Main St"/>
    <x v="0"/>
    <x v="3"/>
    <s v="TRK72001139"/>
    <n v="4"/>
    <x v="1"/>
    <x v="4"/>
    <n v="1880.36"/>
  </r>
  <r>
    <x v="871"/>
    <x v="149"/>
    <x v="867"/>
    <x v="2"/>
    <n v="3"/>
    <n v="324.3"/>
    <s v="720 Main St"/>
    <x v="0"/>
    <x v="4"/>
    <s v="TRK22024707"/>
    <n v="8"/>
    <x v="1"/>
    <x v="2"/>
    <n v="972.90000000000009"/>
  </r>
  <r>
    <x v="872"/>
    <x v="566"/>
    <x v="868"/>
    <x v="3"/>
    <n v="4"/>
    <n v="629.34"/>
    <s v="172 Main St"/>
    <x v="4"/>
    <x v="0"/>
    <s v="TRK90883858"/>
    <n v="7"/>
    <x v="2"/>
    <x v="2"/>
    <n v="2517.36"/>
  </r>
  <r>
    <x v="873"/>
    <x v="258"/>
    <x v="869"/>
    <x v="6"/>
    <n v="3"/>
    <n v="136.84"/>
    <s v="448 Main St"/>
    <x v="4"/>
    <x v="3"/>
    <s v="TRK27365050"/>
    <n v="3"/>
    <x v="0"/>
    <x v="3"/>
    <n v="410.52"/>
  </r>
  <r>
    <x v="874"/>
    <x v="150"/>
    <x v="870"/>
    <x v="3"/>
    <n v="2"/>
    <n v="488.9"/>
    <s v="632 Main St"/>
    <x v="4"/>
    <x v="3"/>
    <s v="TRK93315929"/>
    <n v="7"/>
    <x v="1"/>
    <x v="3"/>
    <n v="977.8"/>
  </r>
  <r>
    <x v="875"/>
    <x v="567"/>
    <x v="871"/>
    <x v="5"/>
    <n v="5"/>
    <n v="133.38999999999999"/>
    <s v="203 Main St"/>
    <x v="2"/>
    <x v="3"/>
    <s v="TRK66473392"/>
    <n v="6"/>
    <x v="1"/>
    <x v="1"/>
    <n v="666.94999999999993"/>
  </r>
  <r>
    <x v="876"/>
    <x v="410"/>
    <x v="872"/>
    <x v="3"/>
    <n v="5"/>
    <n v="608.91"/>
    <s v="200 Main St"/>
    <x v="3"/>
    <x v="4"/>
    <s v="TRK21534173"/>
    <n v="6"/>
    <x v="0"/>
    <x v="4"/>
    <n v="3044.55"/>
  </r>
  <r>
    <x v="877"/>
    <x v="568"/>
    <x v="873"/>
    <x v="2"/>
    <n v="1"/>
    <n v="524.05999999999995"/>
    <s v="269 Main St"/>
    <x v="0"/>
    <x v="4"/>
    <s v="TRK97319127"/>
    <n v="3"/>
    <x v="1"/>
    <x v="2"/>
    <n v="524.05999999999995"/>
  </r>
  <r>
    <x v="878"/>
    <x v="569"/>
    <x v="874"/>
    <x v="6"/>
    <n v="2"/>
    <n v="330.69"/>
    <s v="393 Main St"/>
    <x v="1"/>
    <x v="1"/>
    <s v="TRK56423132"/>
    <n v="5"/>
    <x v="0"/>
    <x v="4"/>
    <n v="661.38"/>
  </r>
  <r>
    <x v="879"/>
    <x v="428"/>
    <x v="875"/>
    <x v="1"/>
    <n v="2"/>
    <n v="547.66999999999996"/>
    <s v="932 Main St"/>
    <x v="3"/>
    <x v="0"/>
    <s v="TRK86373987"/>
    <n v="3"/>
    <x v="2"/>
    <x v="0"/>
    <n v="1095.3399999999999"/>
  </r>
  <r>
    <x v="880"/>
    <x v="495"/>
    <x v="876"/>
    <x v="5"/>
    <n v="4"/>
    <n v="233.7"/>
    <s v="506 Main St"/>
    <x v="1"/>
    <x v="0"/>
    <s v="TRK63133878"/>
    <n v="8"/>
    <x v="0"/>
    <x v="3"/>
    <n v="934.8"/>
  </r>
  <r>
    <x v="881"/>
    <x v="570"/>
    <x v="877"/>
    <x v="2"/>
    <n v="2"/>
    <n v="448.85"/>
    <s v="386 Main St"/>
    <x v="2"/>
    <x v="4"/>
    <s v="TRK48000034"/>
    <n v="6"/>
    <x v="2"/>
    <x v="0"/>
    <n v="897.7"/>
  </r>
  <r>
    <x v="882"/>
    <x v="164"/>
    <x v="878"/>
    <x v="1"/>
    <n v="2"/>
    <n v="274.12"/>
    <s v="533 Main St"/>
    <x v="4"/>
    <x v="3"/>
    <s v="TRK91848650"/>
    <n v="6"/>
    <x v="1"/>
    <x v="1"/>
    <n v="548.24"/>
  </r>
  <r>
    <x v="883"/>
    <x v="557"/>
    <x v="879"/>
    <x v="4"/>
    <n v="5"/>
    <n v="561.48"/>
    <s v="451 Main St"/>
    <x v="1"/>
    <x v="3"/>
    <s v="TRK25317348"/>
    <n v="9"/>
    <x v="1"/>
    <x v="3"/>
    <n v="2807.4"/>
  </r>
  <r>
    <x v="884"/>
    <x v="571"/>
    <x v="880"/>
    <x v="3"/>
    <n v="1"/>
    <n v="595.54"/>
    <s v="817 Main St"/>
    <x v="3"/>
    <x v="0"/>
    <s v="TRK52137079"/>
    <n v="4"/>
    <x v="2"/>
    <x v="0"/>
    <n v="595.54"/>
  </r>
  <r>
    <x v="885"/>
    <x v="158"/>
    <x v="881"/>
    <x v="5"/>
    <n v="4"/>
    <n v="515.59"/>
    <s v="387 Main St"/>
    <x v="2"/>
    <x v="0"/>
    <s v="TRK36388962"/>
    <n v="7"/>
    <x v="1"/>
    <x v="4"/>
    <n v="2062.36"/>
  </r>
  <r>
    <x v="886"/>
    <x v="385"/>
    <x v="882"/>
    <x v="1"/>
    <n v="1"/>
    <n v="460.13"/>
    <s v="792 Main St"/>
    <x v="2"/>
    <x v="2"/>
    <s v="TRK22046456"/>
    <n v="1"/>
    <x v="2"/>
    <x v="4"/>
    <n v="460.13"/>
  </r>
  <r>
    <x v="887"/>
    <x v="36"/>
    <x v="883"/>
    <x v="3"/>
    <n v="3"/>
    <n v="171.66"/>
    <s v="857 Main St"/>
    <x v="0"/>
    <x v="3"/>
    <s v="TRK88547534"/>
    <n v="7"/>
    <x v="2"/>
    <x v="4"/>
    <n v="514.98"/>
  </r>
  <r>
    <x v="888"/>
    <x v="572"/>
    <x v="884"/>
    <x v="5"/>
    <n v="2"/>
    <n v="266.95"/>
    <s v="833 Main St"/>
    <x v="2"/>
    <x v="4"/>
    <s v="TRK58024529"/>
    <n v="3"/>
    <x v="2"/>
    <x v="0"/>
    <n v="533.9"/>
  </r>
  <r>
    <x v="889"/>
    <x v="245"/>
    <x v="885"/>
    <x v="0"/>
    <n v="5"/>
    <n v="650.72"/>
    <s v="350 Main St"/>
    <x v="2"/>
    <x v="1"/>
    <s v="TRK16808790"/>
    <n v="8"/>
    <x v="3"/>
    <x v="2"/>
    <n v="3253.6"/>
  </r>
  <r>
    <x v="890"/>
    <x v="178"/>
    <x v="886"/>
    <x v="5"/>
    <n v="3"/>
    <n v="439.53"/>
    <s v="943 Main St"/>
    <x v="0"/>
    <x v="4"/>
    <s v="TRK85741716"/>
    <n v="5"/>
    <x v="2"/>
    <x v="4"/>
    <n v="1318.59"/>
  </r>
  <r>
    <x v="891"/>
    <x v="433"/>
    <x v="887"/>
    <x v="0"/>
    <n v="3"/>
    <n v="654.54"/>
    <s v="918 Main St"/>
    <x v="4"/>
    <x v="2"/>
    <s v="TRK38952138"/>
    <n v="7"/>
    <x v="0"/>
    <x v="1"/>
    <n v="1963.62"/>
  </r>
  <r>
    <x v="892"/>
    <x v="573"/>
    <x v="888"/>
    <x v="6"/>
    <n v="1"/>
    <n v="394.53"/>
    <s v="480 Main St"/>
    <x v="4"/>
    <x v="0"/>
    <s v="TRK40896408"/>
    <n v="2"/>
    <x v="1"/>
    <x v="1"/>
    <n v="394.53"/>
  </r>
  <r>
    <x v="893"/>
    <x v="574"/>
    <x v="889"/>
    <x v="0"/>
    <n v="1"/>
    <n v="678.01"/>
    <s v="696 Main St"/>
    <x v="4"/>
    <x v="4"/>
    <s v="TRK55701253"/>
    <n v="4"/>
    <x v="1"/>
    <x v="1"/>
    <n v="678.01"/>
  </r>
  <r>
    <x v="894"/>
    <x v="575"/>
    <x v="890"/>
    <x v="2"/>
    <n v="3"/>
    <n v="575.01"/>
    <s v="852 Main St"/>
    <x v="1"/>
    <x v="1"/>
    <s v="TRK37551831"/>
    <n v="8"/>
    <x v="3"/>
    <x v="0"/>
    <n v="1725.03"/>
  </r>
  <r>
    <x v="895"/>
    <x v="576"/>
    <x v="891"/>
    <x v="3"/>
    <n v="3"/>
    <n v="154.63999999999999"/>
    <s v="832 Main St"/>
    <x v="0"/>
    <x v="4"/>
    <s v="TRK62371264"/>
    <n v="6"/>
    <x v="3"/>
    <x v="3"/>
    <n v="463.92"/>
  </r>
  <r>
    <x v="896"/>
    <x v="266"/>
    <x v="892"/>
    <x v="6"/>
    <n v="3"/>
    <n v="147.29"/>
    <s v="102 Main St"/>
    <x v="3"/>
    <x v="0"/>
    <s v="TRK66764177"/>
    <n v="3"/>
    <x v="1"/>
    <x v="4"/>
    <n v="441.87"/>
  </r>
  <r>
    <x v="897"/>
    <x v="459"/>
    <x v="893"/>
    <x v="5"/>
    <n v="4"/>
    <n v="481.48"/>
    <s v="358 Main St"/>
    <x v="3"/>
    <x v="3"/>
    <s v="TRK38730545"/>
    <n v="5"/>
    <x v="0"/>
    <x v="0"/>
    <n v="1925.92"/>
  </r>
  <r>
    <x v="898"/>
    <x v="376"/>
    <x v="894"/>
    <x v="0"/>
    <n v="3"/>
    <n v="158.37"/>
    <s v="742 Main St"/>
    <x v="4"/>
    <x v="0"/>
    <s v="TRK66662528"/>
    <n v="6"/>
    <x v="2"/>
    <x v="1"/>
    <n v="475.11"/>
  </r>
  <r>
    <x v="899"/>
    <x v="577"/>
    <x v="895"/>
    <x v="4"/>
    <n v="2"/>
    <n v="323.37"/>
    <s v="552 Main St"/>
    <x v="1"/>
    <x v="4"/>
    <s v="TRK83843411"/>
    <n v="3"/>
    <x v="0"/>
    <x v="0"/>
    <n v="646.74"/>
  </r>
  <r>
    <x v="900"/>
    <x v="492"/>
    <x v="896"/>
    <x v="5"/>
    <n v="5"/>
    <n v="73.83"/>
    <s v="991 Main St"/>
    <x v="0"/>
    <x v="4"/>
    <s v="TRK67342586"/>
    <n v="9"/>
    <x v="2"/>
    <x v="0"/>
    <n v="369.15"/>
  </r>
  <r>
    <x v="901"/>
    <x v="578"/>
    <x v="897"/>
    <x v="2"/>
    <n v="1"/>
    <n v="458.63"/>
    <s v="839 Main St"/>
    <x v="0"/>
    <x v="2"/>
    <s v="TRK79321479"/>
    <n v="4"/>
    <x v="3"/>
    <x v="1"/>
    <n v="458.63"/>
  </r>
  <r>
    <x v="902"/>
    <x v="579"/>
    <x v="898"/>
    <x v="0"/>
    <n v="4"/>
    <n v="180.25"/>
    <s v="813 Main St"/>
    <x v="0"/>
    <x v="1"/>
    <s v="TRK76712124"/>
    <n v="7"/>
    <x v="2"/>
    <x v="3"/>
    <n v="721"/>
  </r>
  <r>
    <x v="903"/>
    <x v="209"/>
    <x v="899"/>
    <x v="0"/>
    <n v="3"/>
    <n v="473.49"/>
    <s v="205 Main St"/>
    <x v="2"/>
    <x v="4"/>
    <s v="TRK56186636"/>
    <n v="7"/>
    <x v="2"/>
    <x v="2"/>
    <n v="1420.47"/>
  </r>
  <r>
    <x v="904"/>
    <x v="580"/>
    <x v="900"/>
    <x v="0"/>
    <n v="4"/>
    <n v="237.43"/>
    <s v="262 Main St"/>
    <x v="4"/>
    <x v="1"/>
    <s v="TRK41146508"/>
    <n v="8"/>
    <x v="3"/>
    <x v="1"/>
    <n v="949.72"/>
  </r>
  <r>
    <x v="905"/>
    <x v="581"/>
    <x v="901"/>
    <x v="5"/>
    <n v="1"/>
    <n v="442.39"/>
    <s v="101 Main St"/>
    <x v="3"/>
    <x v="4"/>
    <s v="TRK81978113"/>
    <n v="6"/>
    <x v="1"/>
    <x v="3"/>
    <n v="442.39"/>
  </r>
  <r>
    <x v="906"/>
    <x v="459"/>
    <x v="902"/>
    <x v="0"/>
    <n v="1"/>
    <n v="62.12"/>
    <s v="141 Main St"/>
    <x v="4"/>
    <x v="2"/>
    <s v="TRK80175572"/>
    <n v="2"/>
    <x v="2"/>
    <x v="2"/>
    <n v="62.12"/>
  </r>
  <r>
    <x v="907"/>
    <x v="548"/>
    <x v="903"/>
    <x v="6"/>
    <n v="5"/>
    <n v="298.39"/>
    <s v="583 Main St"/>
    <x v="3"/>
    <x v="1"/>
    <s v="TRK52935170"/>
    <n v="7"/>
    <x v="3"/>
    <x v="1"/>
    <n v="1491.95"/>
  </r>
  <r>
    <x v="908"/>
    <x v="138"/>
    <x v="904"/>
    <x v="6"/>
    <n v="2"/>
    <n v="697.93"/>
    <s v="332 Main St"/>
    <x v="2"/>
    <x v="1"/>
    <s v="TRK27155709"/>
    <n v="2"/>
    <x v="0"/>
    <x v="4"/>
    <n v="1395.86"/>
  </r>
  <r>
    <x v="909"/>
    <x v="582"/>
    <x v="905"/>
    <x v="2"/>
    <n v="2"/>
    <n v="291.85000000000002"/>
    <s v="569 Main St"/>
    <x v="4"/>
    <x v="0"/>
    <s v="TRK76525279"/>
    <n v="5"/>
    <x v="1"/>
    <x v="0"/>
    <n v="583.70000000000005"/>
  </r>
  <r>
    <x v="910"/>
    <x v="583"/>
    <x v="906"/>
    <x v="4"/>
    <n v="3"/>
    <n v="308.98"/>
    <s v="348 Main St"/>
    <x v="4"/>
    <x v="3"/>
    <s v="TRK26397548"/>
    <n v="3"/>
    <x v="0"/>
    <x v="0"/>
    <n v="926.94"/>
  </r>
  <r>
    <x v="911"/>
    <x v="584"/>
    <x v="907"/>
    <x v="6"/>
    <n v="5"/>
    <n v="396.86"/>
    <s v="593 Main St"/>
    <x v="4"/>
    <x v="1"/>
    <s v="TRK43967487"/>
    <n v="9"/>
    <x v="0"/>
    <x v="0"/>
    <n v="1984.3"/>
  </r>
  <r>
    <x v="912"/>
    <x v="585"/>
    <x v="908"/>
    <x v="6"/>
    <n v="2"/>
    <n v="139.69"/>
    <s v="318 Main St"/>
    <x v="1"/>
    <x v="2"/>
    <s v="TRK85545920"/>
    <n v="7"/>
    <x v="1"/>
    <x v="2"/>
    <n v="279.38"/>
  </r>
  <r>
    <x v="913"/>
    <x v="223"/>
    <x v="909"/>
    <x v="4"/>
    <n v="5"/>
    <n v="475.95"/>
    <s v="505 Main St"/>
    <x v="2"/>
    <x v="2"/>
    <s v="TRK62277685"/>
    <n v="8"/>
    <x v="3"/>
    <x v="3"/>
    <n v="2379.75"/>
  </r>
  <r>
    <x v="914"/>
    <x v="441"/>
    <x v="910"/>
    <x v="6"/>
    <n v="1"/>
    <n v="626.6"/>
    <s v="955 Main St"/>
    <x v="3"/>
    <x v="2"/>
    <s v="TRK51589589"/>
    <n v="4"/>
    <x v="3"/>
    <x v="3"/>
    <n v="626.6"/>
  </r>
  <r>
    <x v="915"/>
    <x v="586"/>
    <x v="911"/>
    <x v="5"/>
    <n v="4"/>
    <n v="502.99"/>
    <s v="939 Main St"/>
    <x v="0"/>
    <x v="0"/>
    <s v="TRK30736692"/>
    <n v="4"/>
    <x v="3"/>
    <x v="1"/>
    <n v="2011.96"/>
  </r>
  <r>
    <x v="916"/>
    <x v="587"/>
    <x v="912"/>
    <x v="4"/>
    <n v="5"/>
    <n v="578.83000000000004"/>
    <s v="165 Main St"/>
    <x v="4"/>
    <x v="2"/>
    <s v="TRK13928455"/>
    <n v="6"/>
    <x v="2"/>
    <x v="1"/>
    <n v="2894.15"/>
  </r>
  <r>
    <x v="917"/>
    <x v="588"/>
    <x v="913"/>
    <x v="5"/>
    <n v="5"/>
    <n v="383.82"/>
    <s v="836 Main St"/>
    <x v="2"/>
    <x v="2"/>
    <s v="TRK19315310"/>
    <n v="7"/>
    <x v="1"/>
    <x v="4"/>
    <n v="1919.1"/>
  </r>
  <r>
    <x v="918"/>
    <x v="53"/>
    <x v="914"/>
    <x v="5"/>
    <n v="5"/>
    <n v="368.25"/>
    <s v="706 Main St"/>
    <x v="1"/>
    <x v="3"/>
    <s v="TRK18250450"/>
    <n v="5"/>
    <x v="2"/>
    <x v="0"/>
    <n v="1841.25"/>
  </r>
  <r>
    <x v="919"/>
    <x v="492"/>
    <x v="915"/>
    <x v="4"/>
    <n v="2"/>
    <n v="374.6"/>
    <s v="187 Main St"/>
    <x v="1"/>
    <x v="0"/>
    <s v="TRK23357668"/>
    <n v="3"/>
    <x v="1"/>
    <x v="1"/>
    <n v="749.2"/>
  </r>
  <r>
    <x v="920"/>
    <x v="495"/>
    <x v="916"/>
    <x v="2"/>
    <n v="2"/>
    <n v="428.09"/>
    <s v="978 Main St"/>
    <x v="2"/>
    <x v="2"/>
    <s v="TRK98110407"/>
    <n v="6"/>
    <x v="2"/>
    <x v="0"/>
    <n v="856.18"/>
  </r>
  <r>
    <x v="921"/>
    <x v="528"/>
    <x v="917"/>
    <x v="2"/>
    <n v="1"/>
    <n v="438.93"/>
    <s v="144 Main St"/>
    <x v="3"/>
    <x v="1"/>
    <s v="TRK90075720"/>
    <n v="3"/>
    <x v="0"/>
    <x v="1"/>
    <n v="438.93"/>
  </r>
  <r>
    <x v="922"/>
    <x v="589"/>
    <x v="918"/>
    <x v="6"/>
    <n v="2"/>
    <n v="563.82000000000005"/>
    <s v="487 Main St"/>
    <x v="2"/>
    <x v="4"/>
    <s v="TRK79737732"/>
    <n v="3"/>
    <x v="2"/>
    <x v="0"/>
    <n v="1127.6400000000001"/>
  </r>
  <r>
    <x v="923"/>
    <x v="91"/>
    <x v="919"/>
    <x v="4"/>
    <n v="3"/>
    <n v="649.92999999999995"/>
    <s v="836 Main St"/>
    <x v="2"/>
    <x v="4"/>
    <s v="TRK99938245"/>
    <n v="7"/>
    <x v="3"/>
    <x v="3"/>
    <n v="1949.79"/>
  </r>
  <r>
    <x v="924"/>
    <x v="29"/>
    <x v="920"/>
    <x v="4"/>
    <n v="5"/>
    <n v="268.43"/>
    <s v="991 Main St"/>
    <x v="4"/>
    <x v="2"/>
    <s v="TRK55330558"/>
    <n v="5"/>
    <x v="0"/>
    <x v="2"/>
    <n v="1342.15"/>
  </r>
  <r>
    <x v="925"/>
    <x v="590"/>
    <x v="921"/>
    <x v="0"/>
    <n v="5"/>
    <n v="502.47"/>
    <s v="304 Main St"/>
    <x v="1"/>
    <x v="0"/>
    <s v="TRK97460884"/>
    <n v="10"/>
    <x v="3"/>
    <x v="2"/>
    <n v="2512.35"/>
  </r>
  <r>
    <x v="926"/>
    <x v="591"/>
    <x v="922"/>
    <x v="6"/>
    <n v="1"/>
    <n v="26.95"/>
    <s v="672 Main St"/>
    <x v="4"/>
    <x v="3"/>
    <s v="TRK14566395"/>
    <n v="1"/>
    <x v="3"/>
    <x v="2"/>
    <n v="26.95"/>
  </r>
  <r>
    <x v="927"/>
    <x v="592"/>
    <x v="923"/>
    <x v="5"/>
    <n v="4"/>
    <n v="64.69"/>
    <s v="638 Main St"/>
    <x v="0"/>
    <x v="0"/>
    <s v="TRK10003020"/>
    <n v="7"/>
    <x v="3"/>
    <x v="4"/>
    <n v="258.76"/>
  </r>
  <r>
    <x v="928"/>
    <x v="593"/>
    <x v="924"/>
    <x v="5"/>
    <n v="3"/>
    <n v="247.11"/>
    <s v="821 Main St"/>
    <x v="0"/>
    <x v="2"/>
    <s v="TRK18896595"/>
    <n v="3"/>
    <x v="3"/>
    <x v="1"/>
    <n v="741.33"/>
  </r>
  <r>
    <x v="929"/>
    <x v="594"/>
    <x v="925"/>
    <x v="2"/>
    <n v="2"/>
    <n v="536.25"/>
    <s v="553 Main St"/>
    <x v="0"/>
    <x v="4"/>
    <s v="TRK71803414"/>
    <n v="3"/>
    <x v="2"/>
    <x v="2"/>
    <n v="1072.5"/>
  </r>
  <r>
    <x v="930"/>
    <x v="393"/>
    <x v="926"/>
    <x v="1"/>
    <n v="2"/>
    <n v="456.04"/>
    <s v="382 Main St"/>
    <x v="0"/>
    <x v="2"/>
    <s v="TRK28182447"/>
    <n v="4"/>
    <x v="1"/>
    <x v="2"/>
    <n v="912.08"/>
  </r>
  <r>
    <x v="931"/>
    <x v="543"/>
    <x v="927"/>
    <x v="4"/>
    <n v="2"/>
    <n v="40.229999999999997"/>
    <s v="623 Main St"/>
    <x v="2"/>
    <x v="1"/>
    <s v="TRK87567926"/>
    <n v="4"/>
    <x v="0"/>
    <x v="4"/>
    <n v="80.459999999999994"/>
  </r>
  <r>
    <x v="932"/>
    <x v="465"/>
    <x v="928"/>
    <x v="5"/>
    <n v="2"/>
    <n v="72.39"/>
    <s v="168 Main St"/>
    <x v="1"/>
    <x v="3"/>
    <s v="TRK15334251"/>
    <n v="7"/>
    <x v="3"/>
    <x v="0"/>
    <n v="144.78"/>
  </r>
  <r>
    <x v="933"/>
    <x v="595"/>
    <x v="929"/>
    <x v="0"/>
    <n v="2"/>
    <n v="394.16"/>
    <s v="255 Main St"/>
    <x v="1"/>
    <x v="0"/>
    <s v="TRK43718093"/>
    <n v="2"/>
    <x v="2"/>
    <x v="1"/>
    <n v="788.32"/>
  </r>
  <r>
    <x v="934"/>
    <x v="565"/>
    <x v="930"/>
    <x v="5"/>
    <n v="4"/>
    <n v="119.84"/>
    <s v="692 Main St"/>
    <x v="3"/>
    <x v="0"/>
    <s v="TRK85790948"/>
    <n v="8"/>
    <x v="1"/>
    <x v="1"/>
    <n v="479.36"/>
  </r>
  <r>
    <x v="935"/>
    <x v="254"/>
    <x v="931"/>
    <x v="1"/>
    <n v="3"/>
    <n v="692.71"/>
    <s v="398 Main St"/>
    <x v="2"/>
    <x v="3"/>
    <s v="TRK62405253"/>
    <n v="3"/>
    <x v="1"/>
    <x v="0"/>
    <n v="2078.13"/>
  </r>
  <r>
    <x v="936"/>
    <x v="596"/>
    <x v="932"/>
    <x v="3"/>
    <n v="4"/>
    <n v="56.66"/>
    <s v="737 Main St"/>
    <x v="1"/>
    <x v="3"/>
    <s v="TRK44140968"/>
    <n v="4"/>
    <x v="0"/>
    <x v="0"/>
    <n v="226.64"/>
  </r>
  <r>
    <x v="937"/>
    <x v="462"/>
    <x v="933"/>
    <x v="3"/>
    <n v="2"/>
    <n v="298.52999999999997"/>
    <s v="536 Main St"/>
    <x v="0"/>
    <x v="1"/>
    <s v="TRK46221436"/>
    <n v="5"/>
    <x v="3"/>
    <x v="2"/>
    <n v="597.05999999999995"/>
  </r>
  <r>
    <x v="938"/>
    <x v="219"/>
    <x v="934"/>
    <x v="3"/>
    <n v="3"/>
    <n v="331.46"/>
    <s v="696 Main St"/>
    <x v="2"/>
    <x v="1"/>
    <s v="TRK91155214"/>
    <n v="6"/>
    <x v="3"/>
    <x v="1"/>
    <n v="994.37999999999988"/>
  </r>
  <r>
    <x v="939"/>
    <x v="597"/>
    <x v="935"/>
    <x v="5"/>
    <n v="2"/>
    <n v="521.4"/>
    <s v="212 Main St"/>
    <x v="4"/>
    <x v="3"/>
    <s v="TRK53152886"/>
    <n v="7"/>
    <x v="0"/>
    <x v="0"/>
    <n v="1042.8"/>
  </r>
  <r>
    <x v="940"/>
    <x v="14"/>
    <x v="936"/>
    <x v="4"/>
    <n v="4"/>
    <n v="305.32"/>
    <s v="679 Main St"/>
    <x v="1"/>
    <x v="1"/>
    <s v="TRK91525779"/>
    <n v="4"/>
    <x v="0"/>
    <x v="4"/>
    <n v="1221.28"/>
  </r>
  <r>
    <x v="941"/>
    <x v="15"/>
    <x v="439"/>
    <x v="4"/>
    <n v="5"/>
    <n v="111.7"/>
    <s v="599 Main St"/>
    <x v="2"/>
    <x v="1"/>
    <s v="TRK82162952"/>
    <n v="9"/>
    <x v="1"/>
    <x v="2"/>
    <n v="558.5"/>
  </r>
  <r>
    <x v="942"/>
    <x v="372"/>
    <x v="937"/>
    <x v="2"/>
    <n v="1"/>
    <n v="479.76"/>
    <s v="882 Main St"/>
    <x v="2"/>
    <x v="4"/>
    <s v="TRK56070470"/>
    <n v="1"/>
    <x v="2"/>
    <x v="2"/>
    <n v="479.76"/>
  </r>
  <r>
    <x v="943"/>
    <x v="140"/>
    <x v="938"/>
    <x v="0"/>
    <n v="3"/>
    <n v="193.49"/>
    <s v="355 Main St"/>
    <x v="3"/>
    <x v="2"/>
    <s v="TRK71594838"/>
    <n v="6"/>
    <x v="1"/>
    <x v="3"/>
    <n v="580.47"/>
  </r>
  <r>
    <x v="944"/>
    <x v="393"/>
    <x v="939"/>
    <x v="5"/>
    <n v="2"/>
    <n v="426.22"/>
    <s v="448 Main St"/>
    <x v="1"/>
    <x v="3"/>
    <s v="TRK98284560"/>
    <n v="7"/>
    <x v="3"/>
    <x v="4"/>
    <n v="852.44"/>
  </r>
  <r>
    <x v="945"/>
    <x v="38"/>
    <x v="940"/>
    <x v="2"/>
    <n v="5"/>
    <n v="276.44"/>
    <s v="619 Main St"/>
    <x v="3"/>
    <x v="0"/>
    <s v="TRK29976438"/>
    <n v="10"/>
    <x v="1"/>
    <x v="1"/>
    <n v="1382.2"/>
  </r>
  <r>
    <x v="946"/>
    <x v="598"/>
    <x v="941"/>
    <x v="1"/>
    <n v="2"/>
    <n v="404.96"/>
    <s v="546 Main St"/>
    <x v="4"/>
    <x v="0"/>
    <s v="TRK20626179"/>
    <n v="4"/>
    <x v="0"/>
    <x v="2"/>
    <n v="809.92"/>
  </r>
  <r>
    <x v="947"/>
    <x v="599"/>
    <x v="942"/>
    <x v="1"/>
    <n v="4"/>
    <n v="465.66"/>
    <s v="119 Main St"/>
    <x v="1"/>
    <x v="2"/>
    <s v="TRK65994177"/>
    <n v="9"/>
    <x v="1"/>
    <x v="2"/>
    <n v="1862.64"/>
  </r>
  <r>
    <x v="948"/>
    <x v="587"/>
    <x v="445"/>
    <x v="1"/>
    <n v="2"/>
    <n v="594.07000000000005"/>
    <s v="739 Main St"/>
    <x v="3"/>
    <x v="1"/>
    <s v="TRK79269291"/>
    <n v="2"/>
    <x v="2"/>
    <x v="4"/>
    <n v="1188.1400000000001"/>
  </r>
  <r>
    <x v="949"/>
    <x v="576"/>
    <x v="943"/>
    <x v="6"/>
    <n v="5"/>
    <n v="110.38"/>
    <s v="319 Main St"/>
    <x v="4"/>
    <x v="4"/>
    <s v="TRK93797108"/>
    <n v="10"/>
    <x v="2"/>
    <x v="1"/>
    <n v="551.9"/>
  </r>
  <r>
    <x v="950"/>
    <x v="583"/>
    <x v="944"/>
    <x v="5"/>
    <n v="1"/>
    <n v="596.24"/>
    <s v="891 Main St"/>
    <x v="2"/>
    <x v="2"/>
    <s v="TRK78094361"/>
    <n v="4"/>
    <x v="1"/>
    <x v="0"/>
    <n v="596.24"/>
  </r>
  <r>
    <x v="951"/>
    <x v="319"/>
    <x v="945"/>
    <x v="4"/>
    <n v="2"/>
    <n v="306.24"/>
    <s v="589 Main St"/>
    <x v="1"/>
    <x v="2"/>
    <s v="TRK39845914"/>
    <n v="4"/>
    <x v="1"/>
    <x v="2"/>
    <n v="612.48"/>
  </r>
  <r>
    <x v="952"/>
    <x v="37"/>
    <x v="946"/>
    <x v="0"/>
    <n v="3"/>
    <n v="503.39"/>
    <s v="225 Main St"/>
    <x v="1"/>
    <x v="4"/>
    <s v="TRK45303393"/>
    <n v="5"/>
    <x v="2"/>
    <x v="3"/>
    <n v="1510.17"/>
  </r>
  <r>
    <x v="953"/>
    <x v="600"/>
    <x v="947"/>
    <x v="1"/>
    <n v="1"/>
    <n v="131.61000000000001"/>
    <s v="971 Main St"/>
    <x v="4"/>
    <x v="0"/>
    <s v="TRK89392104"/>
    <n v="2"/>
    <x v="1"/>
    <x v="3"/>
    <n v="131.61000000000001"/>
  </r>
  <r>
    <x v="954"/>
    <x v="601"/>
    <x v="948"/>
    <x v="3"/>
    <n v="3"/>
    <n v="443.44"/>
    <s v="240 Main St"/>
    <x v="3"/>
    <x v="0"/>
    <s v="TRK58273778"/>
    <n v="3"/>
    <x v="1"/>
    <x v="4"/>
    <n v="1330.32"/>
  </r>
  <r>
    <x v="955"/>
    <x v="19"/>
    <x v="949"/>
    <x v="3"/>
    <n v="1"/>
    <n v="408.13"/>
    <s v="164 Main St"/>
    <x v="3"/>
    <x v="0"/>
    <s v="TRK25779180"/>
    <n v="3"/>
    <x v="3"/>
    <x v="0"/>
    <n v="408.13"/>
  </r>
  <r>
    <x v="956"/>
    <x v="166"/>
    <x v="781"/>
    <x v="1"/>
    <n v="2"/>
    <n v="160.97999999999999"/>
    <s v="381 Main St"/>
    <x v="0"/>
    <x v="3"/>
    <s v="TRK86246309"/>
    <n v="3"/>
    <x v="0"/>
    <x v="1"/>
    <n v="321.95999999999998"/>
  </r>
  <r>
    <x v="957"/>
    <x v="602"/>
    <x v="950"/>
    <x v="0"/>
    <n v="5"/>
    <n v="643.89"/>
    <s v="851 Main St"/>
    <x v="4"/>
    <x v="2"/>
    <s v="TRK23387612"/>
    <n v="8"/>
    <x v="3"/>
    <x v="3"/>
    <n v="3219.45"/>
  </r>
  <r>
    <x v="958"/>
    <x v="603"/>
    <x v="951"/>
    <x v="6"/>
    <n v="3"/>
    <n v="158.66"/>
    <s v="537 Main St"/>
    <x v="3"/>
    <x v="3"/>
    <s v="TRK70184320"/>
    <n v="7"/>
    <x v="3"/>
    <x v="2"/>
    <n v="475.98"/>
  </r>
  <r>
    <x v="959"/>
    <x v="604"/>
    <x v="952"/>
    <x v="2"/>
    <n v="2"/>
    <n v="143.82"/>
    <s v="856 Main St"/>
    <x v="2"/>
    <x v="2"/>
    <s v="TRK74579570"/>
    <n v="6"/>
    <x v="0"/>
    <x v="0"/>
    <n v="287.64"/>
  </r>
  <r>
    <x v="960"/>
    <x v="66"/>
    <x v="953"/>
    <x v="5"/>
    <n v="3"/>
    <n v="379.07"/>
    <s v="312 Main St"/>
    <x v="3"/>
    <x v="4"/>
    <s v="TRK60383805"/>
    <n v="3"/>
    <x v="3"/>
    <x v="4"/>
    <n v="1137.21"/>
  </r>
  <r>
    <x v="961"/>
    <x v="435"/>
    <x v="954"/>
    <x v="1"/>
    <n v="1"/>
    <n v="601.36"/>
    <s v="532 Main St"/>
    <x v="1"/>
    <x v="0"/>
    <s v="TRK81178598"/>
    <n v="1"/>
    <x v="2"/>
    <x v="3"/>
    <n v="601.36"/>
  </r>
  <r>
    <x v="962"/>
    <x v="605"/>
    <x v="955"/>
    <x v="1"/>
    <n v="2"/>
    <n v="142.08000000000001"/>
    <s v="838 Main St"/>
    <x v="3"/>
    <x v="3"/>
    <s v="TRK30674085"/>
    <n v="4"/>
    <x v="0"/>
    <x v="1"/>
    <n v="284.16000000000003"/>
  </r>
  <r>
    <x v="963"/>
    <x v="606"/>
    <x v="956"/>
    <x v="3"/>
    <n v="5"/>
    <n v="530.34"/>
    <s v="970 Main St"/>
    <x v="1"/>
    <x v="0"/>
    <s v="TRK42832976"/>
    <n v="9"/>
    <x v="1"/>
    <x v="4"/>
    <n v="2651.7"/>
  </r>
  <r>
    <x v="964"/>
    <x v="38"/>
    <x v="957"/>
    <x v="1"/>
    <n v="5"/>
    <n v="364.42"/>
    <s v="778 Main St"/>
    <x v="2"/>
    <x v="1"/>
    <s v="TRK43084595"/>
    <n v="10"/>
    <x v="0"/>
    <x v="1"/>
    <n v="1822.1"/>
  </r>
  <r>
    <x v="965"/>
    <x v="607"/>
    <x v="958"/>
    <x v="5"/>
    <n v="4"/>
    <n v="578.28"/>
    <s v="791 Main St"/>
    <x v="3"/>
    <x v="1"/>
    <s v="TRK22192783"/>
    <n v="5"/>
    <x v="1"/>
    <x v="2"/>
    <n v="2313.12"/>
  </r>
  <r>
    <x v="966"/>
    <x v="608"/>
    <x v="959"/>
    <x v="0"/>
    <n v="5"/>
    <n v="280.52"/>
    <s v="290 Main St"/>
    <x v="2"/>
    <x v="1"/>
    <s v="TRK12981657"/>
    <n v="7"/>
    <x v="3"/>
    <x v="3"/>
    <n v="1402.6"/>
  </r>
  <r>
    <x v="967"/>
    <x v="138"/>
    <x v="960"/>
    <x v="2"/>
    <n v="5"/>
    <n v="638.91999999999996"/>
    <s v="502 Main St"/>
    <x v="2"/>
    <x v="2"/>
    <s v="TRK67403284"/>
    <n v="5"/>
    <x v="1"/>
    <x v="4"/>
    <n v="3194.6"/>
  </r>
  <r>
    <x v="968"/>
    <x v="458"/>
    <x v="961"/>
    <x v="0"/>
    <n v="4"/>
    <n v="412.2"/>
    <s v="664 Main St"/>
    <x v="2"/>
    <x v="0"/>
    <s v="TRK72602178"/>
    <n v="6"/>
    <x v="3"/>
    <x v="1"/>
    <n v="1648.8"/>
  </r>
  <r>
    <x v="969"/>
    <x v="85"/>
    <x v="962"/>
    <x v="6"/>
    <n v="1"/>
    <n v="440.34"/>
    <s v="675 Main St"/>
    <x v="3"/>
    <x v="0"/>
    <s v="TRK25383993"/>
    <n v="2"/>
    <x v="3"/>
    <x v="3"/>
    <n v="440.34"/>
  </r>
  <r>
    <x v="970"/>
    <x v="609"/>
    <x v="963"/>
    <x v="6"/>
    <n v="1"/>
    <n v="627.15"/>
    <s v="241 Main St"/>
    <x v="4"/>
    <x v="3"/>
    <s v="TRK86694331"/>
    <n v="5"/>
    <x v="0"/>
    <x v="0"/>
    <n v="627.15"/>
  </r>
  <r>
    <x v="971"/>
    <x v="582"/>
    <x v="964"/>
    <x v="0"/>
    <n v="2"/>
    <n v="605.26"/>
    <s v="934 Main St"/>
    <x v="4"/>
    <x v="1"/>
    <s v="TRK66648743"/>
    <n v="4"/>
    <x v="3"/>
    <x v="1"/>
    <n v="1210.52"/>
  </r>
  <r>
    <x v="972"/>
    <x v="410"/>
    <x v="965"/>
    <x v="5"/>
    <n v="1"/>
    <n v="90.27"/>
    <s v="816 Main St"/>
    <x v="4"/>
    <x v="3"/>
    <s v="TRK32035271"/>
    <n v="5"/>
    <x v="0"/>
    <x v="3"/>
    <n v="90.27"/>
  </r>
  <r>
    <x v="973"/>
    <x v="559"/>
    <x v="966"/>
    <x v="6"/>
    <n v="5"/>
    <n v="230.77"/>
    <s v="141 Main St"/>
    <x v="1"/>
    <x v="4"/>
    <s v="TRK50594008"/>
    <n v="10"/>
    <x v="3"/>
    <x v="1"/>
    <n v="1153.8499999999999"/>
  </r>
  <r>
    <x v="974"/>
    <x v="610"/>
    <x v="967"/>
    <x v="6"/>
    <n v="5"/>
    <n v="266.77999999999997"/>
    <s v="274 Main St"/>
    <x v="3"/>
    <x v="1"/>
    <s v="TRK52088168"/>
    <n v="5"/>
    <x v="2"/>
    <x v="2"/>
    <n v="1333.9"/>
  </r>
  <r>
    <x v="975"/>
    <x v="419"/>
    <x v="968"/>
    <x v="6"/>
    <n v="1"/>
    <n v="105.92"/>
    <s v="974 Main St"/>
    <x v="3"/>
    <x v="2"/>
    <s v="TRK82165408"/>
    <n v="6"/>
    <x v="0"/>
    <x v="2"/>
    <n v="105.92"/>
  </r>
  <r>
    <x v="976"/>
    <x v="172"/>
    <x v="969"/>
    <x v="2"/>
    <n v="3"/>
    <n v="589.29999999999995"/>
    <s v="650 Main St"/>
    <x v="2"/>
    <x v="2"/>
    <s v="TRK49298239"/>
    <n v="6"/>
    <x v="3"/>
    <x v="1"/>
    <n v="1767.9"/>
  </r>
  <r>
    <x v="977"/>
    <x v="423"/>
    <x v="970"/>
    <x v="3"/>
    <n v="4"/>
    <n v="649.47"/>
    <s v="608 Main St"/>
    <x v="4"/>
    <x v="4"/>
    <s v="TRK99820544"/>
    <n v="8"/>
    <x v="0"/>
    <x v="4"/>
    <n v="2597.88"/>
  </r>
  <r>
    <x v="978"/>
    <x v="611"/>
    <x v="971"/>
    <x v="4"/>
    <n v="4"/>
    <n v="107.49"/>
    <s v="993 Main St"/>
    <x v="4"/>
    <x v="3"/>
    <s v="TRK61047536"/>
    <n v="5"/>
    <x v="2"/>
    <x v="4"/>
    <n v="429.96"/>
  </r>
  <r>
    <x v="979"/>
    <x v="546"/>
    <x v="972"/>
    <x v="0"/>
    <n v="3"/>
    <n v="669.06"/>
    <s v="299 Main St"/>
    <x v="4"/>
    <x v="3"/>
    <s v="TRK51794806"/>
    <n v="7"/>
    <x v="0"/>
    <x v="3"/>
    <n v="2007.18"/>
  </r>
  <r>
    <x v="980"/>
    <x v="612"/>
    <x v="973"/>
    <x v="3"/>
    <n v="3"/>
    <n v="69.650000000000006"/>
    <s v="107 Main St"/>
    <x v="4"/>
    <x v="3"/>
    <s v="TRK81093218"/>
    <n v="7"/>
    <x v="3"/>
    <x v="0"/>
    <n v="208.95"/>
  </r>
  <r>
    <x v="981"/>
    <x v="371"/>
    <x v="974"/>
    <x v="1"/>
    <n v="4"/>
    <n v="136.83000000000001"/>
    <s v="490 Main St"/>
    <x v="0"/>
    <x v="4"/>
    <s v="TRK56379337"/>
    <n v="8"/>
    <x v="0"/>
    <x v="2"/>
    <n v="547.32000000000005"/>
  </r>
  <r>
    <x v="982"/>
    <x v="605"/>
    <x v="975"/>
    <x v="0"/>
    <n v="1"/>
    <n v="304.11"/>
    <s v="707 Main St"/>
    <x v="3"/>
    <x v="0"/>
    <s v="TRK42969065"/>
    <n v="2"/>
    <x v="0"/>
    <x v="1"/>
    <n v="304.11"/>
  </r>
  <r>
    <x v="983"/>
    <x v="167"/>
    <x v="976"/>
    <x v="0"/>
    <n v="4"/>
    <n v="296.27999999999997"/>
    <s v="110 Main St"/>
    <x v="3"/>
    <x v="0"/>
    <s v="TRK60865210"/>
    <n v="5"/>
    <x v="0"/>
    <x v="2"/>
    <n v="1185.1199999999999"/>
  </r>
  <r>
    <x v="984"/>
    <x v="252"/>
    <x v="977"/>
    <x v="6"/>
    <n v="1"/>
    <n v="77.64"/>
    <s v="706 Main St"/>
    <x v="2"/>
    <x v="0"/>
    <s v="TRK68704764"/>
    <n v="1"/>
    <x v="1"/>
    <x v="3"/>
    <n v="77.64"/>
  </r>
  <r>
    <x v="985"/>
    <x v="351"/>
    <x v="978"/>
    <x v="6"/>
    <n v="1"/>
    <n v="243.71"/>
    <s v="948 Main St"/>
    <x v="3"/>
    <x v="3"/>
    <s v="TRK83835361"/>
    <n v="6"/>
    <x v="0"/>
    <x v="4"/>
    <n v="243.71"/>
  </r>
  <r>
    <x v="986"/>
    <x v="609"/>
    <x v="979"/>
    <x v="5"/>
    <n v="4"/>
    <n v="644.96"/>
    <s v="533 Main St"/>
    <x v="2"/>
    <x v="4"/>
    <s v="TRK67837331"/>
    <n v="7"/>
    <x v="1"/>
    <x v="2"/>
    <n v="2579.84"/>
  </r>
  <r>
    <x v="987"/>
    <x v="85"/>
    <x v="980"/>
    <x v="1"/>
    <n v="5"/>
    <n v="283.73"/>
    <s v="436 Main St"/>
    <x v="3"/>
    <x v="4"/>
    <s v="TRK54120003"/>
    <n v="8"/>
    <x v="1"/>
    <x v="0"/>
    <n v="1418.65"/>
  </r>
  <r>
    <x v="988"/>
    <x v="496"/>
    <x v="981"/>
    <x v="6"/>
    <n v="2"/>
    <n v="629.55999999999995"/>
    <s v="818 Main St"/>
    <x v="3"/>
    <x v="1"/>
    <s v="TRK52765043"/>
    <n v="5"/>
    <x v="3"/>
    <x v="0"/>
    <n v="1259.1199999999999"/>
  </r>
  <r>
    <x v="989"/>
    <x v="613"/>
    <x v="982"/>
    <x v="5"/>
    <n v="4"/>
    <n v="246.11"/>
    <s v="559 Main St"/>
    <x v="2"/>
    <x v="4"/>
    <s v="TRK33212013"/>
    <n v="4"/>
    <x v="0"/>
    <x v="0"/>
    <n v="984.44"/>
  </r>
  <r>
    <x v="990"/>
    <x v="614"/>
    <x v="983"/>
    <x v="1"/>
    <n v="2"/>
    <n v="418.26"/>
    <s v="913 Main St"/>
    <x v="0"/>
    <x v="4"/>
    <s v="TRK67368559"/>
    <n v="2"/>
    <x v="0"/>
    <x v="4"/>
    <n v="836.52"/>
  </r>
  <r>
    <x v="991"/>
    <x v="593"/>
    <x v="984"/>
    <x v="6"/>
    <n v="5"/>
    <n v="127.18"/>
    <s v="598 Main St"/>
    <x v="0"/>
    <x v="1"/>
    <s v="TRK68938335"/>
    <n v="10"/>
    <x v="1"/>
    <x v="4"/>
    <n v="635.90000000000009"/>
  </r>
  <r>
    <x v="992"/>
    <x v="615"/>
    <x v="985"/>
    <x v="4"/>
    <n v="3"/>
    <n v="586.21"/>
    <s v="933 Main St"/>
    <x v="3"/>
    <x v="4"/>
    <s v="TRK89637569"/>
    <n v="4"/>
    <x v="3"/>
    <x v="1"/>
    <n v="1758.63"/>
  </r>
  <r>
    <x v="993"/>
    <x v="616"/>
    <x v="986"/>
    <x v="0"/>
    <n v="3"/>
    <n v="267.45"/>
    <s v="576 Main St"/>
    <x v="3"/>
    <x v="3"/>
    <s v="TRK33323210"/>
    <n v="5"/>
    <x v="3"/>
    <x v="0"/>
    <n v="802.34999999999991"/>
  </r>
  <r>
    <x v="994"/>
    <x v="326"/>
    <x v="987"/>
    <x v="2"/>
    <n v="4"/>
    <n v="615.65"/>
    <s v="971 Main St"/>
    <x v="0"/>
    <x v="3"/>
    <s v="TRK63701318"/>
    <n v="9"/>
    <x v="3"/>
    <x v="4"/>
    <n v="2462.6"/>
  </r>
  <r>
    <x v="995"/>
    <x v="134"/>
    <x v="988"/>
    <x v="0"/>
    <n v="2"/>
    <n v="113.29"/>
    <s v="959 Main St"/>
    <x v="4"/>
    <x v="4"/>
    <s v="TRK87832736"/>
    <n v="5"/>
    <x v="0"/>
    <x v="3"/>
    <n v="226.58"/>
  </r>
  <r>
    <x v="996"/>
    <x v="578"/>
    <x v="989"/>
    <x v="0"/>
    <n v="4"/>
    <n v="473.86"/>
    <s v="101 Main St"/>
    <x v="0"/>
    <x v="3"/>
    <s v="TRK92240846"/>
    <n v="7"/>
    <x v="0"/>
    <x v="3"/>
    <n v="1895.44"/>
  </r>
  <r>
    <x v="997"/>
    <x v="110"/>
    <x v="990"/>
    <x v="5"/>
    <n v="3"/>
    <n v="444.75"/>
    <s v="805 Main St"/>
    <x v="4"/>
    <x v="3"/>
    <s v="TRK40616861"/>
    <n v="6"/>
    <x v="0"/>
    <x v="3"/>
    <n v="1334.25"/>
  </r>
  <r>
    <x v="998"/>
    <x v="213"/>
    <x v="991"/>
    <x v="1"/>
    <n v="2"/>
    <n v="183.67"/>
    <s v="783 Main St"/>
    <x v="0"/>
    <x v="1"/>
    <s v="TRK22824230"/>
    <n v="6"/>
    <x v="0"/>
    <x v="4"/>
    <n v="367.34"/>
  </r>
  <r>
    <x v="999"/>
    <x v="478"/>
    <x v="992"/>
    <x v="4"/>
    <n v="1"/>
    <n v="483.38"/>
    <s v="652 Main St"/>
    <x v="4"/>
    <x v="4"/>
    <s v="TRK43983841"/>
    <n v="6"/>
    <x v="1"/>
    <x v="4"/>
    <n v="483.38"/>
  </r>
  <r>
    <x v="1000"/>
    <x v="617"/>
    <x v="993"/>
    <x v="4"/>
    <n v="5"/>
    <n v="260.93"/>
    <s v="582 Main St"/>
    <x v="1"/>
    <x v="3"/>
    <s v="TRK52664903"/>
    <n v="9"/>
    <x v="0"/>
    <x v="2"/>
    <n v="1304.6500000000001"/>
  </r>
  <r>
    <x v="1001"/>
    <x v="618"/>
    <x v="994"/>
    <x v="4"/>
    <n v="2"/>
    <n v="253.68"/>
    <s v="122 Main St"/>
    <x v="3"/>
    <x v="0"/>
    <s v="TRK19554327"/>
    <n v="6"/>
    <x v="2"/>
    <x v="1"/>
    <n v="507.36"/>
  </r>
  <r>
    <x v="1002"/>
    <x v="619"/>
    <x v="995"/>
    <x v="2"/>
    <n v="4"/>
    <n v="699.88"/>
    <s v="944 Main St"/>
    <x v="4"/>
    <x v="4"/>
    <s v="TRK33188106"/>
    <n v="5"/>
    <x v="3"/>
    <x v="1"/>
    <n v="2799.52"/>
  </r>
  <r>
    <x v="1003"/>
    <x v="348"/>
    <x v="996"/>
    <x v="4"/>
    <n v="5"/>
    <n v="319.97000000000003"/>
    <s v="582 Main St"/>
    <x v="4"/>
    <x v="0"/>
    <s v="TRK14706969"/>
    <n v="7"/>
    <x v="0"/>
    <x v="4"/>
    <n v="1599.85"/>
  </r>
  <r>
    <x v="1004"/>
    <x v="559"/>
    <x v="997"/>
    <x v="3"/>
    <n v="4"/>
    <n v="246.91"/>
    <s v="296 Main St"/>
    <x v="1"/>
    <x v="4"/>
    <s v="TRK15739505"/>
    <n v="8"/>
    <x v="0"/>
    <x v="1"/>
    <n v="987.64"/>
  </r>
  <r>
    <x v="1005"/>
    <x v="521"/>
    <x v="998"/>
    <x v="4"/>
    <n v="3"/>
    <n v="392.85"/>
    <s v="426 Main St"/>
    <x v="2"/>
    <x v="2"/>
    <s v="TRK11448295"/>
    <n v="6"/>
    <x v="2"/>
    <x v="4"/>
    <n v="1178.55"/>
  </r>
  <r>
    <x v="1006"/>
    <x v="582"/>
    <x v="999"/>
    <x v="2"/>
    <n v="5"/>
    <n v="420.98"/>
    <s v="860 Main St"/>
    <x v="4"/>
    <x v="3"/>
    <s v="TRK91458233"/>
    <n v="7"/>
    <x v="0"/>
    <x v="3"/>
    <n v="2104.9"/>
  </r>
  <r>
    <x v="1007"/>
    <x v="591"/>
    <x v="485"/>
    <x v="0"/>
    <n v="2"/>
    <n v="73.260000000000005"/>
    <s v="839 Main St"/>
    <x v="4"/>
    <x v="4"/>
    <s v="TRK60444502"/>
    <n v="4"/>
    <x v="3"/>
    <x v="3"/>
    <n v="146.52000000000001"/>
  </r>
  <r>
    <x v="1008"/>
    <x v="620"/>
    <x v="1000"/>
    <x v="0"/>
    <n v="3"/>
    <n v="410.88"/>
    <s v="257 Main St"/>
    <x v="4"/>
    <x v="3"/>
    <s v="TRK12742366"/>
    <n v="8"/>
    <x v="1"/>
    <x v="0"/>
    <n v="1232.6400000000001"/>
  </r>
  <r>
    <x v="1009"/>
    <x v="621"/>
    <x v="1001"/>
    <x v="2"/>
    <n v="2"/>
    <n v="176.46"/>
    <s v="696 Main St"/>
    <x v="2"/>
    <x v="3"/>
    <s v="TRK95958645"/>
    <n v="2"/>
    <x v="1"/>
    <x v="2"/>
    <n v="352.92"/>
  </r>
  <r>
    <x v="1010"/>
    <x v="622"/>
    <x v="1002"/>
    <x v="0"/>
    <n v="3"/>
    <n v="659.57"/>
    <s v="533 Main St"/>
    <x v="2"/>
    <x v="1"/>
    <s v="TRK35649833"/>
    <n v="6"/>
    <x v="0"/>
    <x v="2"/>
    <n v="1978.71"/>
  </r>
  <r>
    <x v="1011"/>
    <x v="623"/>
    <x v="1003"/>
    <x v="1"/>
    <n v="2"/>
    <n v="478.36"/>
    <s v="654 Main St"/>
    <x v="1"/>
    <x v="0"/>
    <s v="TRK22271097"/>
    <n v="3"/>
    <x v="2"/>
    <x v="4"/>
    <n v="956.72"/>
  </r>
  <r>
    <x v="1012"/>
    <x v="623"/>
    <x v="1004"/>
    <x v="4"/>
    <n v="4"/>
    <n v="30.05"/>
    <s v="301 Main St"/>
    <x v="1"/>
    <x v="2"/>
    <s v="TRK12551882"/>
    <n v="6"/>
    <x v="2"/>
    <x v="3"/>
    <n v="120.2"/>
  </r>
  <r>
    <x v="1013"/>
    <x v="624"/>
    <x v="1005"/>
    <x v="5"/>
    <n v="4"/>
    <n v="300.56"/>
    <s v="842 Main St"/>
    <x v="4"/>
    <x v="1"/>
    <s v="TRK49568409"/>
    <n v="9"/>
    <x v="1"/>
    <x v="3"/>
    <n v="1202.24"/>
  </r>
  <r>
    <x v="1014"/>
    <x v="389"/>
    <x v="1006"/>
    <x v="2"/>
    <n v="5"/>
    <n v="226.45"/>
    <s v="160 Main St"/>
    <x v="0"/>
    <x v="2"/>
    <s v="TRK21682892"/>
    <n v="6"/>
    <x v="1"/>
    <x v="2"/>
    <n v="1132.25"/>
  </r>
  <r>
    <x v="1015"/>
    <x v="547"/>
    <x v="1007"/>
    <x v="4"/>
    <n v="2"/>
    <n v="349.4"/>
    <s v="892 Main St"/>
    <x v="1"/>
    <x v="0"/>
    <s v="TRK73249329"/>
    <n v="2"/>
    <x v="0"/>
    <x v="0"/>
    <n v="698.8"/>
  </r>
  <r>
    <x v="1016"/>
    <x v="10"/>
    <x v="1008"/>
    <x v="2"/>
    <n v="5"/>
    <n v="268.77999999999997"/>
    <s v="669 Main St"/>
    <x v="0"/>
    <x v="3"/>
    <s v="TRK62135578"/>
    <n v="7"/>
    <x v="3"/>
    <x v="2"/>
    <n v="1343.9"/>
  </r>
  <r>
    <x v="1017"/>
    <x v="625"/>
    <x v="1009"/>
    <x v="3"/>
    <n v="2"/>
    <n v="680.85"/>
    <s v="953 Main St"/>
    <x v="3"/>
    <x v="3"/>
    <s v="TRK83122112"/>
    <n v="6"/>
    <x v="1"/>
    <x v="1"/>
    <n v="1361.7"/>
  </r>
  <r>
    <x v="1018"/>
    <x v="307"/>
    <x v="1010"/>
    <x v="5"/>
    <n v="3"/>
    <n v="182.48"/>
    <s v="209 Main St"/>
    <x v="4"/>
    <x v="3"/>
    <s v="TRK20703086"/>
    <n v="3"/>
    <x v="2"/>
    <x v="0"/>
    <n v="547.43999999999994"/>
  </r>
  <r>
    <x v="1019"/>
    <x v="616"/>
    <x v="1011"/>
    <x v="6"/>
    <n v="1"/>
    <n v="277.08999999999997"/>
    <s v="293 Main St"/>
    <x v="4"/>
    <x v="2"/>
    <s v="TRK32954229"/>
    <n v="2"/>
    <x v="0"/>
    <x v="1"/>
    <n v="277.08999999999997"/>
  </r>
  <r>
    <x v="1020"/>
    <x v="181"/>
    <x v="1012"/>
    <x v="2"/>
    <n v="2"/>
    <n v="26.5"/>
    <s v="312 Main St"/>
    <x v="1"/>
    <x v="3"/>
    <s v="TRK47787981"/>
    <n v="3"/>
    <x v="0"/>
    <x v="0"/>
    <n v="53"/>
  </r>
  <r>
    <x v="1021"/>
    <x v="5"/>
    <x v="1013"/>
    <x v="1"/>
    <n v="3"/>
    <n v="315.27"/>
    <s v="309 Main St"/>
    <x v="2"/>
    <x v="1"/>
    <s v="TRK97351945"/>
    <n v="4"/>
    <x v="0"/>
    <x v="2"/>
    <n v="945.81"/>
  </r>
  <r>
    <x v="1022"/>
    <x v="522"/>
    <x v="1014"/>
    <x v="2"/>
    <n v="3"/>
    <n v="450.98"/>
    <s v="396 Main St"/>
    <x v="2"/>
    <x v="0"/>
    <s v="TRK66537096"/>
    <n v="8"/>
    <x v="0"/>
    <x v="1"/>
    <n v="1352.94"/>
  </r>
  <r>
    <x v="1023"/>
    <x v="296"/>
    <x v="1015"/>
    <x v="5"/>
    <n v="5"/>
    <n v="233.67"/>
    <s v="291 Main St"/>
    <x v="4"/>
    <x v="0"/>
    <s v="TRK32059025"/>
    <n v="10"/>
    <x v="2"/>
    <x v="1"/>
    <n v="1168.3499999999999"/>
  </r>
  <r>
    <x v="1024"/>
    <x v="412"/>
    <x v="1016"/>
    <x v="3"/>
    <n v="3"/>
    <n v="367.75"/>
    <s v="731 Main St"/>
    <x v="4"/>
    <x v="4"/>
    <s v="TRK93022878"/>
    <n v="7"/>
    <x v="1"/>
    <x v="3"/>
    <n v="1103.25"/>
  </r>
  <r>
    <x v="1025"/>
    <x v="271"/>
    <x v="1017"/>
    <x v="3"/>
    <n v="1"/>
    <n v="23.53"/>
    <s v="174 Main St"/>
    <x v="3"/>
    <x v="3"/>
    <s v="TRK98841457"/>
    <n v="2"/>
    <x v="1"/>
    <x v="0"/>
    <n v="23.53"/>
  </r>
  <r>
    <x v="1026"/>
    <x v="31"/>
    <x v="1018"/>
    <x v="0"/>
    <n v="1"/>
    <n v="677.48"/>
    <s v="807 Main St"/>
    <x v="1"/>
    <x v="3"/>
    <s v="TRK13281370"/>
    <n v="1"/>
    <x v="3"/>
    <x v="3"/>
    <n v="677.48"/>
  </r>
  <r>
    <x v="1027"/>
    <x v="626"/>
    <x v="1019"/>
    <x v="5"/>
    <n v="4"/>
    <n v="554.83000000000004"/>
    <s v="983 Main St"/>
    <x v="4"/>
    <x v="2"/>
    <s v="TRK77377373"/>
    <n v="6"/>
    <x v="2"/>
    <x v="4"/>
    <n v="2219.3200000000002"/>
  </r>
  <r>
    <x v="1028"/>
    <x v="96"/>
    <x v="1020"/>
    <x v="6"/>
    <n v="4"/>
    <n v="440.31"/>
    <s v="610 Main St"/>
    <x v="4"/>
    <x v="1"/>
    <s v="TRK84651559"/>
    <n v="6"/>
    <x v="2"/>
    <x v="0"/>
    <n v="1761.24"/>
  </r>
  <r>
    <x v="1029"/>
    <x v="627"/>
    <x v="1021"/>
    <x v="6"/>
    <n v="1"/>
    <n v="87.06"/>
    <s v="851 Main St"/>
    <x v="2"/>
    <x v="0"/>
    <s v="TRK41500198"/>
    <n v="4"/>
    <x v="1"/>
    <x v="2"/>
    <n v="87.06"/>
  </r>
  <r>
    <x v="1030"/>
    <x v="276"/>
    <x v="1022"/>
    <x v="1"/>
    <n v="4"/>
    <n v="245.28"/>
    <s v="176 Main St"/>
    <x v="2"/>
    <x v="3"/>
    <s v="TRK12936357"/>
    <n v="6"/>
    <x v="3"/>
    <x v="2"/>
    <n v="981.12"/>
  </r>
  <r>
    <x v="1031"/>
    <x v="285"/>
    <x v="1023"/>
    <x v="1"/>
    <n v="5"/>
    <n v="664.51"/>
    <s v="136 Main St"/>
    <x v="0"/>
    <x v="4"/>
    <s v="TRK18129706"/>
    <n v="8"/>
    <x v="0"/>
    <x v="2"/>
    <n v="3322.55"/>
  </r>
  <r>
    <x v="1032"/>
    <x v="197"/>
    <x v="1024"/>
    <x v="3"/>
    <n v="1"/>
    <n v="618.67999999999995"/>
    <s v="990 Main St"/>
    <x v="1"/>
    <x v="3"/>
    <s v="TRK61634201"/>
    <n v="6"/>
    <x v="3"/>
    <x v="1"/>
    <n v="618.67999999999995"/>
  </r>
  <r>
    <x v="1033"/>
    <x v="628"/>
    <x v="1025"/>
    <x v="0"/>
    <n v="1"/>
    <n v="370.85"/>
    <s v="331 Main St"/>
    <x v="3"/>
    <x v="3"/>
    <s v="TRK30654048"/>
    <n v="2"/>
    <x v="1"/>
    <x v="1"/>
    <n v="370.85"/>
  </r>
  <r>
    <x v="1034"/>
    <x v="452"/>
    <x v="1026"/>
    <x v="4"/>
    <n v="4"/>
    <n v="517.98"/>
    <s v="766 Main St"/>
    <x v="4"/>
    <x v="1"/>
    <s v="TRK76751888"/>
    <n v="8"/>
    <x v="1"/>
    <x v="3"/>
    <n v="2071.92"/>
  </r>
  <r>
    <x v="1035"/>
    <x v="629"/>
    <x v="1027"/>
    <x v="5"/>
    <n v="4"/>
    <n v="506.11"/>
    <s v="911 Main St"/>
    <x v="4"/>
    <x v="1"/>
    <s v="TRK97732085"/>
    <n v="5"/>
    <x v="2"/>
    <x v="1"/>
    <n v="2024.44"/>
  </r>
  <r>
    <x v="1036"/>
    <x v="583"/>
    <x v="1028"/>
    <x v="1"/>
    <n v="3"/>
    <n v="413.83"/>
    <s v="552 Main St"/>
    <x v="3"/>
    <x v="0"/>
    <s v="TRK49684737"/>
    <n v="8"/>
    <x v="0"/>
    <x v="3"/>
    <n v="1241.49"/>
  </r>
  <r>
    <x v="1037"/>
    <x v="141"/>
    <x v="1029"/>
    <x v="4"/>
    <n v="1"/>
    <n v="249.81"/>
    <s v="408 Main St"/>
    <x v="4"/>
    <x v="4"/>
    <s v="TRK54073964"/>
    <n v="1"/>
    <x v="0"/>
    <x v="4"/>
    <n v="249.81"/>
  </r>
  <r>
    <x v="1038"/>
    <x v="175"/>
    <x v="1030"/>
    <x v="2"/>
    <n v="3"/>
    <n v="362.53"/>
    <s v="422 Main St"/>
    <x v="0"/>
    <x v="2"/>
    <s v="TRK28969024"/>
    <n v="5"/>
    <x v="2"/>
    <x v="3"/>
    <n v="1087.5899999999999"/>
  </r>
  <r>
    <x v="1039"/>
    <x v="164"/>
    <x v="1031"/>
    <x v="6"/>
    <n v="2"/>
    <n v="299.23"/>
    <s v="177 Main St"/>
    <x v="2"/>
    <x v="1"/>
    <s v="TRK79362428"/>
    <n v="2"/>
    <x v="3"/>
    <x v="0"/>
    <n v="598.46"/>
  </r>
  <r>
    <x v="1040"/>
    <x v="375"/>
    <x v="1032"/>
    <x v="2"/>
    <n v="1"/>
    <n v="536.07000000000005"/>
    <s v="932 Main St"/>
    <x v="0"/>
    <x v="3"/>
    <s v="TRK66288666"/>
    <n v="5"/>
    <x v="1"/>
    <x v="4"/>
    <n v="536.07000000000005"/>
  </r>
  <r>
    <x v="1041"/>
    <x v="91"/>
    <x v="1033"/>
    <x v="0"/>
    <n v="4"/>
    <n v="558.9"/>
    <s v="948 Main St"/>
    <x v="3"/>
    <x v="0"/>
    <s v="TRK97737564"/>
    <n v="9"/>
    <x v="3"/>
    <x v="4"/>
    <n v="2235.6"/>
  </r>
  <r>
    <x v="1042"/>
    <x v="65"/>
    <x v="1034"/>
    <x v="2"/>
    <n v="2"/>
    <n v="409.75"/>
    <s v="414 Main St"/>
    <x v="0"/>
    <x v="0"/>
    <s v="TRK67878272"/>
    <n v="2"/>
    <x v="3"/>
    <x v="3"/>
    <n v="819.5"/>
  </r>
  <r>
    <x v="1043"/>
    <x v="630"/>
    <x v="1035"/>
    <x v="2"/>
    <n v="2"/>
    <n v="179.96"/>
    <s v="675 Main St"/>
    <x v="3"/>
    <x v="0"/>
    <s v="TRK94346739"/>
    <n v="5"/>
    <x v="2"/>
    <x v="0"/>
    <n v="359.92"/>
  </r>
  <r>
    <x v="1044"/>
    <x v="450"/>
    <x v="1036"/>
    <x v="4"/>
    <n v="1"/>
    <n v="38.49"/>
    <s v="215 Main St"/>
    <x v="2"/>
    <x v="3"/>
    <s v="TRK52335337"/>
    <n v="4"/>
    <x v="1"/>
    <x v="1"/>
    <n v="38.49"/>
  </r>
  <r>
    <x v="1045"/>
    <x v="28"/>
    <x v="1037"/>
    <x v="5"/>
    <n v="5"/>
    <n v="316.39999999999998"/>
    <s v="671 Main St"/>
    <x v="3"/>
    <x v="2"/>
    <s v="TRK72012758"/>
    <n v="7"/>
    <x v="2"/>
    <x v="2"/>
    <n v="1582"/>
  </r>
  <r>
    <x v="1046"/>
    <x v="550"/>
    <x v="1038"/>
    <x v="2"/>
    <n v="3"/>
    <n v="547.15"/>
    <s v="466 Main St"/>
    <x v="1"/>
    <x v="0"/>
    <s v="TRK16524006"/>
    <n v="4"/>
    <x v="3"/>
    <x v="0"/>
    <n v="1641.45"/>
  </r>
  <r>
    <x v="1047"/>
    <x v="467"/>
    <x v="1039"/>
    <x v="3"/>
    <n v="4"/>
    <n v="540.34"/>
    <s v="394 Main St"/>
    <x v="3"/>
    <x v="0"/>
    <s v="TRK69872994"/>
    <n v="6"/>
    <x v="3"/>
    <x v="1"/>
    <n v="2161.36"/>
  </r>
  <r>
    <x v="1048"/>
    <x v="82"/>
    <x v="1040"/>
    <x v="0"/>
    <n v="4"/>
    <n v="73.650000000000006"/>
    <s v="889 Main St"/>
    <x v="0"/>
    <x v="0"/>
    <s v="TRK21153699"/>
    <n v="9"/>
    <x v="2"/>
    <x v="4"/>
    <n v="294.60000000000002"/>
  </r>
  <r>
    <x v="1049"/>
    <x v="408"/>
    <x v="1041"/>
    <x v="6"/>
    <n v="5"/>
    <n v="391.86"/>
    <s v="587 Main St"/>
    <x v="2"/>
    <x v="0"/>
    <s v="TRK44468232"/>
    <n v="6"/>
    <x v="2"/>
    <x v="0"/>
    <n v="1959.3"/>
  </r>
  <r>
    <x v="1050"/>
    <x v="38"/>
    <x v="1042"/>
    <x v="5"/>
    <n v="5"/>
    <n v="69.7"/>
    <s v="722 Main St"/>
    <x v="1"/>
    <x v="2"/>
    <s v="TRK49663597"/>
    <n v="9"/>
    <x v="2"/>
    <x v="0"/>
    <n v="348.5"/>
  </r>
  <r>
    <x v="1051"/>
    <x v="376"/>
    <x v="1043"/>
    <x v="0"/>
    <n v="5"/>
    <n v="26.43"/>
    <s v="820 Main St"/>
    <x v="3"/>
    <x v="0"/>
    <s v="TRK65097450"/>
    <n v="5"/>
    <x v="1"/>
    <x v="3"/>
    <n v="132.15"/>
  </r>
  <r>
    <x v="1052"/>
    <x v="631"/>
    <x v="1044"/>
    <x v="2"/>
    <n v="1"/>
    <n v="531.74"/>
    <s v="493 Main St"/>
    <x v="1"/>
    <x v="0"/>
    <s v="TRK25145796"/>
    <n v="1"/>
    <x v="3"/>
    <x v="4"/>
    <n v="531.74"/>
  </r>
  <r>
    <x v="1053"/>
    <x v="632"/>
    <x v="1045"/>
    <x v="1"/>
    <n v="2"/>
    <n v="496.62"/>
    <s v="679 Main St"/>
    <x v="1"/>
    <x v="4"/>
    <s v="TRK37375451"/>
    <n v="2"/>
    <x v="0"/>
    <x v="0"/>
    <n v="993.24"/>
  </r>
  <r>
    <x v="1054"/>
    <x v="633"/>
    <x v="1046"/>
    <x v="4"/>
    <n v="1"/>
    <n v="660.66"/>
    <s v="447 Main St"/>
    <x v="0"/>
    <x v="3"/>
    <s v="TRK46415143"/>
    <n v="3"/>
    <x v="3"/>
    <x v="0"/>
    <n v="660.66"/>
  </r>
  <r>
    <x v="1055"/>
    <x v="5"/>
    <x v="1047"/>
    <x v="0"/>
    <n v="4"/>
    <n v="274.82"/>
    <s v="932 Main St"/>
    <x v="0"/>
    <x v="3"/>
    <s v="TRK91512567"/>
    <n v="9"/>
    <x v="3"/>
    <x v="2"/>
    <n v="1099.28"/>
  </r>
  <r>
    <x v="1056"/>
    <x v="280"/>
    <x v="1048"/>
    <x v="1"/>
    <n v="2"/>
    <n v="486.35"/>
    <s v="790 Main St"/>
    <x v="1"/>
    <x v="4"/>
    <s v="TRK49382455"/>
    <n v="6"/>
    <x v="0"/>
    <x v="1"/>
    <n v="972.7"/>
  </r>
  <r>
    <x v="1057"/>
    <x v="634"/>
    <x v="1049"/>
    <x v="5"/>
    <n v="3"/>
    <n v="428.88"/>
    <s v="535 Main St"/>
    <x v="0"/>
    <x v="0"/>
    <s v="TRK81611937"/>
    <n v="3"/>
    <x v="3"/>
    <x v="3"/>
    <n v="1286.6400000000001"/>
  </r>
  <r>
    <x v="1058"/>
    <x v="102"/>
    <x v="1050"/>
    <x v="6"/>
    <n v="2"/>
    <n v="412.14"/>
    <s v="127 Main St"/>
    <x v="2"/>
    <x v="2"/>
    <s v="TRK26949106"/>
    <n v="2"/>
    <x v="1"/>
    <x v="0"/>
    <n v="824.28"/>
  </r>
  <r>
    <x v="1059"/>
    <x v="491"/>
    <x v="1051"/>
    <x v="6"/>
    <n v="1"/>
    <n v="265.64"/>
    <s v="601 Main St"/>
    <x v="2"/>
    <x v="2"/>
    <s v="TRK11492924"/>
    <n v="3"/>
    <x v="3"/>
    <x v="0"/>
    <n v="265.64"/>
  </r>
  <r>
    <x v="1060"/>
    <x v="635"/>
    <x v="1052"/>
    <x v="2"/>
    <n v="2"/>
    <n v="273.43"/>
    <s v="824 Main St"/>
    <x v="4"/>
    <x v="0"/>
    <s v="TRK93370912"/>
    <n v="7"/>
    <x v="3"/>
    <x v="1"/>
    <n v="546.86"/>
  </r>
  <r>
    <x v="1061"/>
    <x v="636"/>
    <x v="1053"/>
    <x v="5"/>
    <n v="5"/>
    <n v="131.69999999999999"/>
    <s v="830 Main St"/>
    <x v="4"/>
    <x v="0"/>
    <s v="TRK12402431"/>
    <n v="8"/>
    <x v="1"/>
    <x v="4"/>
    <n v="658.5"/>
  </r>
  <r>
    <x v="1062"/>
    <x v="421"/>
    <x v="1054"/>
    <x v="3"/>
    <n v="5"/>
    <n v="85.52"/>
    <s v="301 Main St"/>
    <x v="3"/>
    <x v="1"/>
    <s v="TRK65149372"/>
    <n v="5"/>
    <x v="2"/>
    <x v="3"/>
    <n v="427.6"/>
  </r>
  <r>
    <x v="1063"/>
    <x v="83"/>
    <x v="1055"/>
    <x v="6"/>
    <n v="2"/>
    <n v="320.68"/>
    <s v="336 Main St"/>
    <x v="2"/>
    <x v="0"/>
    <s v="TRK58407918"/>
    <n v="5"/>
    <x v="1"/>
    <x v="1"/>
    <n v="641.36"/>
  </r>
  <r>
    <x v="1064"/>
    <x v="637"/>
    <x v="1056"/>
    <x v="5"/>
    <n v="4"/>
    <n v="198.81"/>
    <s v="654 Main St"/>
    <x v="4"/>
    <x v="2"/>
    <s v="TRK96074264"/>
    <n v="9"/>
    <x v="1"/>
    <x v="1"/>
    <n v="795.24"/>
  </r>
  <r>
    <x v="1065"/>
    <x v="638"/>
    <x v="1057"/>
    <x v="4"/>
    <n v="5"/>
    <n v="666.8"/>
    <s v="488 Main St"/>
    <x v="0"/>
    <x v="3"/>
    <s v="TRK79504329"/>
    <n v="7"/>
    <x v="0"/>
    <x v="1"/>
    <n v="3334"/>
  </r>
  <r>
    <x v="1066"/>
    <x v="639"/>
    <x v="1058"/>
    <x v="6"/>
    <n v="1"/>
    <n v="355.09"/>
    <s v="674 Main St"/>
    <x v="0"/>
    <x v="1"/>
    <s v="TRK20321248"/>
    <n v="5"/>
    <x v="0"/>
    <x v="0"/>
    <n v="355.09"/>
  </r>
  <r>
    <x v="1067"/>
    <x v="640"/>
    <x v="1059"/>
    <x v="1"/>
    <n v="2"/>
    <n v="316.2"/>
    <s v="384 Main St"/>
    <x v="1"/>
    <x v="2"/>
    <s v="TRK37426359"/>
    <n v="2"/>
    <x v="2"/>
    <x v="0"/>
    <n v="632.4"/>
  </r>
  <r>
    <x v="1068"/>
    <x v="240"/>
    <x v="1060"/>
    <x v="5"/>
    <n v="1"/>
    <n v="133.38999999999999"/>
    <s v="469 Main St"/>
    <x v="0"/>
    <x v="0"/>
    <s v="TRK22073506"/>
    <n v="2"/>
    <x v="0"/>
    <x v="1"/>
    <n v="133.38999999999999"/>
  </r>
  <r>
    <x v="1069"/>
    <x v="641"/>
    <x v="1061"/>
    <x v="0"/>
    <n v="1"/>
    <n v="454.23"/>
    <s v="255 Main St"/>
    <x v="3"/>
    <x v="2"/>
    <s v="TRK12518384"/>
    <n v="3"/>
    <x v="2"/>
    <x v="3"/>
    <n v="454.23"/>
  </r>
  <r>
    <x v="1070"/>
    <x v="605"/>
    <x v="1062"/>
    <x v="6"/>
    <n v="4"/>
    <n v="491.29"/>
    <s v="496 Main St"/>
    <x v="0"/>
    <x v="4"/>
    <s v="TRK10926575"/>
    <n v="6"/>
    <x v="2"/>
    <x v="2"/>
    <n v="1965.16"/>
  </r>
  <r>
    <x v="1071"/>
    <x v="53"/>
    <x v="1063"/>
    <x v="1"/>
    <n v="2"/>
    <n v="255.14"/>
    <s v="216 Main St"/>
    <x v="4"/>
    <x v="0"/>
    <s v="TRK47536985"/>
    <n v="2"/>
    <x v="2"/>
    <x v="4"/>
    <n v="510.28"/>
  </r>
  <r>
    <x v="1072"/>
    <x v="297"/>
    <x v="1064"/>
    <x v="0"/>
    <n v="1"/>
    <n v="392.61"/>
    <s v="977 Main St"/>
    <x v="3"/>
    <x v="1"/>
    <s v="TRK14900878"/>
    <n v="4"/>
    <x v="0"/>
    <x v="1"/>
    <n v="392.61"/>
  </r>
  <r>
    <x v="1073"/>
    <x v="642"/>
    <x v="1065"/>
    <x v="2"/>
    <n v="4"/>
    <n v="362.06"/>
    <s v="294 Main St"/>
    <x v="0"/>
    <x v="2"/>
    <s v="TRK11107152"/>
    <n v="4"/>
    <x v="2"/>
    <x v="3"/>
    <n v="1448.24"/>
  </r>
  <r>
    <x v="1074"/>
    <x v="451"/>
    <x v="1066"/>
    <x v="1"/>
    <n v="1"/>
    <n v="222.73"/>
    <s v="120 Main St"/>
    <x v="1"/>
    <x v="2"/>
    <s v="TRK81624772"/>
    <n v="4"/>
    <x v="2"/>
    <x v="4"/>
    <n v="222.73"/>
  </r>
  <r>
    <x v="1075"/>
    <x v="169"/>
    <x v="1067"/>
    <x v="0"/>
    <n v="2"/>
    <n v="552.63"/>
    <s v="609 Main St"/>
    <x v="0"/>
    <x v="3"/>
    <s v="TRK43066749"/>
    <n v="7"/>
    <x v="3"/>
    <x v="0"/>
    <n v="1105.26"/>
  </r>
  <r>
    <x v="1076"/>
    <x v="20"/>
    <x v="1068"/>
    <x v="5"/>
    <n v="4"/>
    <n v="686.61"/>
    <s v="176 Main St"/>
    <x v="4"/>
    <x v="0"/>
    <s v="TRK52711973"/>
    <n v="6"/>
    <x v="2"/>
    <x v="1"/>
    <n v="2746.44"/>
  </r>
  <r>
    <x v="1077"/>
    <x v="456"/>
    <x v="1069"/>
    <x v="4"/>
    <n v="3"/>
    <n v="305.16000000000003"/>
    <s v="115 Main St"/>
    <x v="2"/>
    <x v="1"/>
    <s v="TRK47775217"/>
    <n v="8"/>
    <x v="0"/>
    <x v="1"/>
    <n v="915.48"/>
  </r>
  <r>
    <x v="1078"/>
    <x v="168"/>
    <x v="1070"/>
    <x v="6"/>
    <n v="1"/>
    <n v="41.09"/>
    <s v="881 Main St"/>
    <x v="1"/>
    <x v="2"/>
    <s v="TRK90060232"/>
    <n v="4"/>
    <x v="3"/>
    <x v="2"/>
    <n v="41.09"/>
  </r>
  <r>
    <x v="1079"/>
    <x v="643"/>
    <x v="1071"/>
    <x v="1"/>
    <n v="5"/>
    <n v="634"/>
    <s v="144 Main St"/>
    <x v="3"/>
    <x v="3"/>
    <s v="TRK99055909"/>
    <n v="8"/>
    <x v="2"/>
    <x v="2"/>
    <n v="3170"/>
  </r>
  <r>
    <x v="1080"/>
    <x v="325"/>
    <x v="1072"/>
    <x v="5"/>
    <n v="5"/>
    <n v="464.74"/>
    <s v="438 Main St"/>
    <x v="3"/>
    <x v="3"/>
    <s v="TRK33140293"/>
    <n v="7"/>
    <x v="2"/>
    <x v="1"/>
    <n v="2323.6999999999998"/>
  </r>
  <r>
    <x v="1081"/>
    <x v="453"/>
    <x v="1073"/>
    <x v="0"/>
    <n v="4"/>
    <n v="425.6"/>
    <s v="494 Main St"/>
    <x v="2"/>
    <x v="4"/>
    <s v="TRK85897054"/>
    <n v="5"/>
    <x v="1"/>
    <x v="4"/>
    <n v="1702.4"/>
  </r>
  <r>
    <x v="1082"/>
    <x v="426"/>
    <x v="1074"/>
    <x v="3"/>
    <n v="3"/>
    <n v="573.22"/>
    <s v="177 Main St"/>
    <x v="0"/>
    <x v="4"/>
    <s v="TRK59779174"/>
    <n v="5"/>
    <x v="0"/>
    <x v="2"/>
    <n v="1719.66"/>
  </r>
  <r>
    <x v="1083"/>
    <x v="644"/>
    <x v="1075"/>
    <x v="3"/>
    <n v="1"/>
    <n v="123.28"/>
    <s v="895 Main St"/>
    <x v="2"/>
    <x v="3"/>
    <s v="TRK98960285"/>
    <n v="3"/>
    <x v="0"/>
    <x v="2"/>
    <n v="123.28"/>
  </r>
  <r>
    <x v="1084"/>
    <x v="124"/>
    <x v="1076"/>
    <x v="1"/>
    <n v="1"/>
    <n v="70.819999999999993"/>
    <s v="128 Main St"/>
    <x v="3"/>
    <x v="4"/>
    <s v="TRK41792296"/>
    <n v="1"/>
    <x v="3"/>
    <x v="0"/>
    <n v="70.819999999999993"/>
  </r>
  <r>
    <x v="1085"/>
    <x v="54"/>
    <x v="1077"/>
    <x v="4"/>
    <n v="2"/>
    <n v="646.69000000000005"/>
    <s v="404 Main St"/>
    <x v="0"/>
    <x v="0"/>
    <s v="TRK91426444"/>
    <n v="7"/>
    <x v="3"/>
    <x v="0"/>
    <n v="1293.3800000000001"/>
  </r>
  <r>
    <x v="1086"/>
    <x v="475"/>
    <x v="1078"/>
    <x v="2"/>
    <n v="2"/>
    <n v="513.41999999999996"/>
    <s v="401 Main St"/>
    <x v="1"/>
    <x v="4"/>
    <s v="TRK91439791"/>
    <n v="5"/>
    <x v="3"/>
    <x v="0"/>
    <n v="1026.8399999999999"/>
  </r>
  <r>
    <x v="1087"/>
    <x v="411"/>
    <x v="1079"/>
    <x v="5"/>
    <n v="4"/>
    <n v="693.07"/>
    <s v="530 Main St"/>
    <x v="1"/>
    <x v="0"/>
    <s v="TRK48659380"/>
    <n v="8"/>
    <x v="0"/>
    <x v="0"/>
    <n v="2772.28"/>
  </r>
  <r>
    <x v="1088"/>
    <x v="115"/>
    <x v="1080"/>
    <x v="6"/>
    <n v="3"/>
    <n v="491.43"/>
    <s v="213 Main St"/>
    <x v="3"/>
    <x v="0"/>
    <s v="TRK21232601"/>
    <n v="6"/>
    <x v="3"/>
    <x v="0"/>
    <n v="1474.29"/>
  </r>
  <r>
    <x v="1089"/>
    <x v="175"/>
    <x v="1081"/>
    <x v="2"/>
    <n v="2"/>
    <n v="599.74"/>
    <s v="440 Main St"/>
    <x v="3"/>
    <x v="0"/>
    <s v="TRK66967997"/>
    <n v="2"/>
    <x v="2"/>
    <x v="0"/>
    <n v="1199.48"/>
  </r>
  <r>
    <x v="1090"/>
    <x v="641"/>
    <x v="1082"/>
    <x v="0"/>
    <n v="2"/>
    <n v="650.25"/>
    <s v="996 Main St"/>
    <x v="3"/>
    <x v="2"/>
    <s v="TRK37022954"/>
    <n v="6"/>
    <x v="2"/>
    <x v="0"/>
    <n v="1300.5"/>
  </r>
  <r>
    <x v="1091"/>
    <x v="192"/>
    <x v="1083"/>
    <x v="5"/>
    <n v="3"/>
    <n v="209.48"/>
    <s v="123 Main St"/>
    <x v="0"/>
    <x v="4"/>
    <s v="TRK57771859"/>
    <n v="4"/>
    <x v="2"/>
    <x v="2"/>
    <n v="628.43999999999994"/>
  </r>
  <r>
    <x v="1092"/>
    <x v="531"/>
    <x v="1084"/>
    <x v="5"/>
    <n v="5"/>
    <n v="209.2"/>
    <s v="930 Main St"/>
    <x v="0"/>
    <x v="3"/>
    <s v="TRK47744396"/>
    <n v="6"/>
    <x v="3"/>
    <x v="2"/>
    <n v="1046"/>
  </r>
  <r>
    <x v="1093"/>
    <x v="308"/>
    <x v="1085"/>
    <x v="1"/>
    <n v="4"/>
    <n v="197.36"/>
    <s v="557 Main St"/>
    <x v="3"/>
    <x v="2"/>
    <s v="TRK22612240"/>
    <n v="9"/>
    <x v="1"/>
    <x v="0"/>
    <n v="789.44"/>
  </r>
  <r>
    <x v="1094"/>
    <x v="342"/>
    <x v="1086"/>
    <x v="4"/>
    <n v="4"/>
    <n v="648.91"/>
    <s v="615 Main St"/>
    <x v="2"/>
    <x v="0"/>
    <s v="TRK54950785"/>
    <n v="6"/>
    <x v="0"/>
    <x v="0"/>
    <n v="2595.64"/>
  </r>
  <r>
    <x v="1095"/>
    <x v="234"/>
    <x v="1087"/>
    <x v="1"/>
    <n v="2"/>
    <n v="441.54"/>
    <s v="397 Main St"/>
    <x v="1"/>
    <x v="3"/>
    <s v="TRK92929755"/>
    <n v="2"/>
    <x v="0"/>
    <x v="2"/>
    <n v="883.08"/>
  </r>
  <r>
    <x v="1096"/>
    <x v="120"/>
    <x v="1088"/>
    <x v="2"/>
    <n v="2"/>
    <n v="464.92"/>
    <s v="782 Main St"/>
    <x v="0"/>
    <x v="2"/>
    <s v="TRK49482923"/>
    <n v="2"/>
    <x v="2"/>
    <x v="3"/>
    <n v="929.84"/>
  </r>
  <r>
    <x v="1097"/>
    <x v="645"/>
    <x v="1089"/>
    <x v="0"/>
    <n v="5"/>
    <n v="506.45"/>
    <s v="344 Main St"/>
    <x v="3"/>
    <x v="0"/>
    <s v="TRK99682998"/>
    <n v="7"/>
    <x v="3"/>
    <x v="4"/>
    <n v="2532.25"/>
  </r>
  <r>
    <x v="1098"/>
    <x v="646"/>
    <x v="1090"/>
    <x v="0"/>
    <n v="4"/>
    <n v="255.86"/>
    <s v="155 Main St"/>
    <x v="2"/>
    <x v="3"/>
    <s v="TRK91653000"/>
    <n v="7"/>
    <x v="2"/>
    <x v="2"/>
    <n v="1023.44"/>
  </r>
  <r>
    <x v="1099"/>
    <x v="556"/>
    <x v="1091"/>
    <x v="5"/>
    <n v="2"/>
    <n v="125.23"/>
    <s v="272 Main St"/>
    <x v="4"/>
    <x v="1"/>
    <s v="TRK60774796"/>
    <n v="3"/>
    <x v="1"/>
    <x v="2"/>
    <n v="250.46"/>
  </r>
  <r>
    <x v="1100"/>
    <x v="538"/>
    <x v="1092"/>
    <x v="5"/>
    <n v="5"/>
    <n v="38.11"/>
    <s v="428 Main St"/>
    <x v="0"/>
    <x v="1"/>
    <s v="TRK79790530"/>
    <n v="6"/>
    <x v="3"/>
    <x v="0"/>
    <n v="190.55"/>
  </r>
  <r>
    <x v="1101"/>
    <x v="647"/>
    <x v="1093"/>
    <x v="0"/>
    <n v="3"/>
    <n v="161.97"/>
    <s v="904 Main St"/>
    <x v="4"/>
    <x v="4"/>
    <s v="TRK85871121"/>
    <n v="4"/>
    <x v="0"/>
    <x v="2"/>
    <n v="485.91"/>
  </r>
  <r>
    <x v="1102"/>
    <x v="561"/>
    <x v="14"/>
    <x v="3"/>
    <n v="4"/>
    <n v="347.17"/>
    <s v="997 Main St"/>
    <x v="0"/>
    <x v="0"/>
    <s v="TRK86192984"/>
    <n v="8"/>
    <x v="2"/>
    <x v="0"/>
    <n v="1388.68"/>
  </r>
  <r>
    <x v="1103"/>
    <x v="648"/>
    <x v="1094"/>
    <x v="5"/>
    <n v="4"/>
    <n v="276.32"/>
    <s v="129 Main St"/>
    <x v="1"/>
    <x v="3"/>
    <s v="TRK26270357"/>
    <n v="5"/>
    <x v="2"/>
    <x v="4"/>
    <n v="1105.28"/>
  </r>
  <r>
    <x v="1104"/>
    <x v="568"/>
    <x v="1095"/>
    <x v="2"/>
    <n v="4"/>
    <n v="314.76"/>
    <s v="850 Main St"/>
    <x v="1"/>
    <x v="0"/>
    <s v="TRK63547510"/>
    <n v="8"/>
    <x v="2"/>
    <x v="0"/>
    <n v="1259.04"/>
  </r>
  <r>
    <x v="1105"/>
    <x v="649"/>
    <x v="1096"/>
    <x v="2"/>
    <n v="3"/>
    <n v="475.69"/>
    <s v="884 Main St"/>
    <x v="3"/>
    <x v="1"/>
    <s v="TRK23324770"/>
    <n v="3"/>
    <x v="1"/>
    <x v="4"/>
    <n v="1427.07"/>
  </r>
  <r>
    <x v="1106"/>
    <x v="255"/>
    <x v="1097"/>
    <x v="3"/>
    <n v="1"/>
    <n v="372.8"/>
    <s v="903 Main St"/>
    <x v="4"/>
    <x v="1"/>
    <s v="TRK72859458"/>
    <n v="6"/>
    <x v="0"/>
    <x v="3"/>
    <n v="372.8"/>
  </r>
  <r>
    <x v="1107"/>
    <x v="233"/>
    <x v="1098"/>
    <x v="2"/>
    <n v="2"/>
    <n v="63.21"/>
    <s v="282 Main St"/>
    <x v="1"/>
    <x v="1"/>
    <s v="TRK80963328"/>
    <n v="4"/>
    <x v="0"/>
    <x v="4"/>
    <n v="126.42"/>
  </r>
  <r>
    <x v="1108"/>
    <x v="650"/>
    <x v="1099"/>
    <x v="5"/>
    <n v="1"/>
    <n v="634.94000000000005"/>
    <s v="462 Main St"/>
    <x v="1"/>
    <x v="1"/>
    <s v="TRK49753703"/>
    <n v="5"/>
    <x v="3"/>
    <x v="0"/>
    <n v="634.94000000000005"/>
  </r>
  <r>
    <x v="1109"/>
    <x v="651"/>
    <x v="1100"/>
    <x v="4"/>
    <n v="4"/>
    <n v="77.47"/>
    <s v="474 Main St"/>
    <x v="3"/>
    <x v="2"/>
    <s v="TRK32026174"/>
    <n v="7"/>
    <x v="0"/>
    <x v="0"/>
    <n v="309.88"/>
  </r>
  <r>
    <x v="1110"/>
    <x v="402"/>
    <x v="1101"/>
    <x v="3"/>
    <n v="3"/>
    <n v="84.31"/>
    <s v="912 Main St"/>
    <x v="2"/>
    <x v="0"/>
    <s v="TRK36103184"/>
    <n v="3"/>
    <x v="0"/>
    <x v="2"/>
    <n v="252.93"/>
  </r>
  <r>
    <x v="1111"/>
    <x v="306"/>
    <x v="1102"/>
    <x v="0"/>
    <n v="4"/>
    <n v="234.45"/>
    <s v="362 Main St"/>
    <x v="1"/>
    <x v="1"/>
    <s v="TRK91338580"/>
    <n v="9"/>
    <x v="1"/>
    <x v="0"/>
    <n v="937.8"/>
  </r>
  <r>
    <x v="1112"/>
    <x v="652"/>
    <x v="1103"/>
    <x v="6"/>
    <n v="1"/>
    <n v="356.81"/>
    <s v="563 Main St"/>
    <x v="1"/>
    <x v="3"/>
    <s v="TRK80694400"/>
    <n v="1"/>
    <x v="3"/>
    <x v="0"/>
    <n v="356.81"/>
  </r>
  <r>
    <x v="1113"/>
    <x v="111"/>
    <x v="1104"/>
    <x v="6"/>
    <n v="4"/>
    <n v="209.99"/>
    <s v="168 Main St"/>
    <x v="4"/>
    <x v="3"/>
    <s v="TRK80819053"/>
    <n v="8"/>
    <x v="2"/>
    <x v="4"/>
    <n v="839.96"/>
  </r>
  <r>
    <x v="1114"/>
    <x v="653"/>
    <x v="1105"/>
    <x v="2"/>
    <n v="3"/>
    <n v="659.88"/>
    <s v="609 Main St"/>
    <x v="3"/>
    <x v="1"/>
    <s v="TRK79610967"/>
    <n v="3"/>
    <x v="2"/>
    <x v="4"/>
    <n v="1979.64"/>
  </r>
  <r>
    <x v="1115"/>
    <x v="126"/>
    <x v="1106"/>
    <x v="5"/>
    <n v="2"/>
    <n v="336.32"/>
    <s v="562 Main St"/>
    <x v="1"/>
    <x v="2"/>
    <s v="TRK89687816"/>
    <n v="3"/>
    <x v="2"/>
    <x v="4"/>
    <n v="672.64"/>
  </r>
  <r>
    <x v="1116"/>
    <x v="612"/>
    <x v="1107"/>
    <x v="4"/>
    <n v="2"/>
    <n v="531.49"/>
    <s v="562 Main St"/>
    <x v="2"/>
    <x v="3"/>
    <s v="TRK61265132"/>
    <n v="7"/>
    <x v="3"/>
    <x v="3"/>
    <n v="1062.98"/>
  </r>
  <r>
    <x v="1117"/>
    <x v="199"/>
    <x v="1108"/>
    <x v="3"/>
    <n v="3"/>
    <n v="588.44000000000005"/>
    <s v="858 Main St"/>
    <x v="3"/>
    <x v="0"/>
    <s v="TRK95779073"/>
    <n v="8"/>
    <x v="3"/>
    <x v="4"/>
    <n v="1765.32"/>
  </r>
  <r>
    <x v="1118"/>
    <x v="75"/>
    <x v="1109"/>
    <x v="1"/>
    <n v="3"/>
    <n v="251.48"/>
    <s v="359 Main St"/>
    <x v="2"/>
    <x v="2"/>
    <s v="TRK99102265"/>
    <n v="4"/>
    <x v="2"/>
    <x v="2"/>
    <n v="754.43999999999994"/>
  </r>
  <r>
    <x v="1119"/>
    <x v="167"/>
    <x v="1110"/>
    <x v="5"/>
    <n v="1"/>
    <n v="684.65"/>
    <s v="250 Main St"/>
    <x v="2"/>
    <x v="3"/>
    <s v="TRK24675988"/>
    <n v="1"/>
    <x v="1"/>
    <x v="2"/>
    <n v="684.65"/>
  </r>
  <r>
    <x v="1120"/>
    <x v="400"/>
    <x v="1111"/>
    <x v="2"/>
    <n v="1"/>
    <n v="195.86"/>
    <s v="267 Main St"/>
    <x v="1"/>
    <x v="4"/>
    <s v="TRK82416295"/>
    <n v="3"/>
    <x v="2"/>
    <x v="3"/>
    <n v="195.86"/>
  </r>
  <r>
    <x v="1121"/>
    <x v="654"/>
    <x v="1112"/>
    <x v="1"/>
    <n v="3"/>
    <n v="50.34"/>
    <s v="393 Main St"/>
    <x v="3"/>
    <x v="2"/>
    <s v="TRK43070888"/>
    <n v="3"/>
    <x v="1"/>
    <x v="0"/>
    <n v="151.02000000000001"/>
  </r>
  <r>
    <x v="1122"/>
    <x v="323"/>
    <x v="266"/>
    <x v="0"/>
    <n v="5"/>
    <n v="678.19"/>
    <s v="766 Main St"/>
    <x v="1"/>
    <x v="2"/>
    <s v="TRK32496970"/>
    <n v="8"/>
    <x v="2"/>
    <x v="3"/>
    <n v="3390.95"/>
  </r>
  <r>
    <x v="1123"/>
    <x v="655"/>
    <x v="1113"/>
    <x v="2"/>
    <n v="3"/>
    <n v="554.25"/>
    <s v="843 Main St"/>
    <x v="0"/>
    <x v="0"/>
    <s v="TRK73163634"/>
    <n v="6"/>
    <x v="3"/>
    <x v="1"/>
    <n v="1662.75"/>
  </r>
  <r>
    <x v="1124"/>
    <x v="221"/>
    <x v="1114"/>
    <x v="3"/>
    <n v="4"/>
    <n v="576.87"/>
    <s v="888 Main St"/>
    <x v="3"/>
    <x v="2"/>
    <s v="TRK40245983"/>
    <n v="5"/>
    <x v="2"/>
    <x v="0"/>
    <n v="2307.48"/>
  </r>
  <r>
    <x v="1125"/>
    <x v="504"/>
    <x v="1115"/>
    <x v="6"/>
    <n v="4"/>
    <n v="408.36"/>
    <s v="156 Main St"/>
    <x v="3"/>
    <x v="1"/>
    <s v="TRK67210247"/>
    <n v="4"/>
    <x v="1"/>
    <x v="1"/>
    <n v="1633.44"/>
  </r>
  <r>
    <x v="1126"/>
    <x v="319"/>
    <x v="1116"/>
    <x v="1"/>
    <n v="5"/>
    <n v="190.11"/>
    <s v="325 Main St"/>
    <x v="4"/>
    <x v="3"/>
    <s v="TRK36195559"/>
    <n v="7"/>
    <x v="0"/>
    <x v="4"/>
    <n v="950.55000000000007"/>
  </r>
  <r>
    <x v="1127"/>
    <x v="175"/>
    <x v="1117"/>
    <x v="4"/>
    <n v="3"/>
    <n v="602.75"/>
    <s v="920 Main St"/>
    <x v="2"/>
    <x v="0"/>
    <s v="TRK33155049"/>
    <n v="6"/>
    <x v="0"/>
    <x v="2"/>
    <n v="1808.25"/>
  </r>
  <r>
    <x v="1128"/>
    <x v="538"/>
    <x v="1118"/>
    <x v="0"/>
    <n v="3"/>
    <n v="646.79"/>
    <s v="447 Main St"/>
    <x v="4"/>
    <x v="1"/>
    <s v="TRK10883354"/>
    <n v="5"/>
    <x v="3"/>
    <x v="4"/>
    <n v="1940.37"/>
  </r>
  <r>
    <x v="1129"/>
    <x v="236"/>
    <x v="1119"/>
    <x v="3"/>
    <n v="4"/>
    <n v="418.71"/>
    <s v="239 Main St"/>
    <x v="4"/>
    <x v="4"/>
    <s v="TRK37495481"/>
    <n v="8"/>
    <x v="1"/>
    <x v="0"/>
    <n v="1674.84"/>
  </r>
  <r>
    <x v="1130"/>
    <x v="656"/>
    <x v="1120"/>
    <x v="5"/>
    <n v="2"/>
    <n v="323.45"/>
    <s v="533 Main St"/>
    <x v="2"/>
    <x v="2"/>
    <s v="TRK27233265"/>
    <n v="5"/>
    <x v="1"/>
    <x v="0"/>
    <n v="646.9"/>
  </r>
  <r>
    <x v="1131"/>
    <x v="408"/>
    <x v="1121"/>
    <x v="1"/>
    <n v="1"/>
    <n v="694.5"/>
    <s v="195 Main St"/>
    <x v="2"/>
    <x v="4"/>
    <s v="TRK41691086"/>
    <n v="3"/>
    <x v="3"/>
    <x v="3"/>
    <n v="694.5"/>
  </r>
  <r>
    <x v="1132"/>
    <x v="657"/>
    <x v="1122"/>
    <x v="3"/>
    <n v="2"/>
    <n v="337.32"/>
    <s v="948 Main St"/>
    <x v="2"/>
    <x v="1"/>
    <s v="TRK30406357"/>
    <n v="4"/>
    <x v="0"/>
    <x v="2"/>
    <n v="674.64"/>
  </r>
  <r>
    <x v="1133"/>
    <x v="398"/>
    <x v="1123"/>
    <x v="4"/>
    <n v="2"/>
    <n v="467.91"/>
    <s v="432 Main St"/>
    <x v="3"/>
    <x v="2"/>
    <s v="TRK76731303"/>
    <n v="5"/>
    <x v="3"/>
    <x v="3"/>
    <n v="935.82"/>
  </r>
  <r>
    <x v="1134"/>
    <x v="180"/>
    <x v="1124"/>
    <x v="6"/>
    <n v="4"/>
    <n v="38.28"/>
    <s v="950 Main St"/>
    <x v="0"/>
    <x v="1"/>
    <s v="TRK53964711"/>
    <n v="4"/>
    <x v="3"/>
    <x v="3"/>
    <n v="153.12"/>
  </r>
  <r>
    <x v="1135"/>
    <x v="153"/>
    <x v="1125"/>
    <x v="4"/>
    <n v="2"/>
    <n v="73.41"/>
    <s v="562 Main St"/>
    <x v="1"/>
    <x v="0"/>
    <s v="TRK97793275"/>
    <n v="2"/>
    <x v="0"/>
    <x v="4"/>
    <n v="146.82"/>
  </r>
  <r>
    <x v="1136"/>
    <x v="463"/>
    <x v="1126"/>
    <x v="2"/>
    <n v="3"/>
    <n v="668.33"/>
    <s v="799 Main St"/>
    <x v="3"/>
    <x v="4"/>
    <s v="TRK34856025"/>
    <n v="4"/>
    <x v="3"/>
    <x v="3"/>
    <n v="2004.99"/>
  </r>
  <r>
    <x v="1137"/>
    <x v="511"/>
    <x v="1127"/>
    <x v="4"/>
    <n v="4"/>
    <n v="410.21"/>
    <s v="841 Main St"/>
    <x v="4"/>
    <x v="4"/>
    <s v="TRK59911645"/>
    <n v="5"/>
    <x v="3"/>
    <x v="0"/>
    <n v="1640.84"/>
  </r>
  <r>
    <x v="1138"/>
    <x v="552"/>
    <x v="1128"/>
    <x v="6"/>
    <n v="4"/>
    <n v="294.41000000000003"/>
    <s v="188 Main St"/>
    <x v="0"/>
    <x v="4"/>
    <s v="TRK55565668"/>
    <n v="4"/>
    <x v="2"/>
    <x v="0"/>
    <n v="1177.6400000000001"/>
  </r>
  <r>
    <x v="1139"/>
    <x v="627"/>
    <x v="1042"/>
    <x v="3"/>
    <n v="3"/>
    <n v="501.82"/>
    <s v="568 Main St"/>
    <x v="3"/>
    <x v="1"/>
    <s v="TRK28290825"/>
    <n v="4"/>
    <x v="1"/>
    <x v="2"/>
    <n v="1505.46"/>
  </r>
  <r>
    <x v="1140"/>
    <x v="658"/>
    <x v="1129"/>
    <x v="4"/>
    <n v="2"/>
    <n v="552.83000000000004"/>
    <s v="904 Main St"/>
    <x v="2"/>
    <x v="1"/>
    <s v="TRK38297718"/>
    <n v="3"/>
    <x v="2"/>
    <x v="1"/>
    <n v="1105.6600000000001"/>
  </r>
  <r>
    <x v="1141"/>
    <x v="656"/>
    <x v="1130"/>
    <x v="3"/>
    <n v="3"/>
    <n v="498.66"/>
    <s v="382 Main St"/>
    <x v="4"/>
    <x v="1"/>
    <s v="TRK26707221"/>
    <n v="6"/>
    <x v="2"/>
    <x v="2"/>
    <n v="1495.98"/>
  </r>
  <r>
    <x v="1142"/>
    <x v="1"/>
    <x v="1131"/>
    <x v="1"/>
    <n v="4"/>
    <n v="695.1"/>
    <s v="484 Main St"/>
    <x v="0"/>
    <x v="2"/>
    <s v="TRK83678708"/>
    <n v="8"/>
    <x v="2"/>
    <x v="2"/>
    <n v="2780.4"/>
  </r>
  <r>
    <x v="1143"/>
    <x v="659"/>
    <x v="1132"/>
    <x v="3"/>
    <n v="1"/>
    <n v="381.61"/>
    <s v="114 Main St"/>
    <x v="0"/>
    <x v="4"/>
    <s v="TRK51040137"/>
    <n v="5"/>
    <x v="2"/>
    <x v="2"/>
    <n v="381.61"/>
  </r>
  <r>
    <x v="1144"/>
    <x v="223"/>
    <x v="1133"/>
    <x v="6"/>
    <n v="5"/>
    <n v="507.94"/>
    <s v="292 Main St"/>
    <x v="1"/>
    <x v="1"/>
    <s v="TRK88749996"/>
    <n v="9"/>
    <x v="2"/>
    <x v="3"/>
    <n v="2539.6999999999998"/>
  </r>
  <r>
    <x v="1145"/>
    <x v="275"/>
    <x v="1134"/>
    <x v="6"/>
    <n v="3"/>
    <n v="571.53"/>
    <s v="821 Main St"/>
    <x v="0"/>
    <x v="3"/>
    <s v="TRK59642814"/>
    <n v="6"/>
    <x v="1"/>
    <x v="3"/>
    <n v="1714.59"/>
  </r>
  <r>
    <x v="1146"/>
    <x v="525"/>
    <x v="1135"/>
    <x v="0"/>
    <n v="5"/>
    <n v="421.44"/>
    <s v="286 Main St"/>
    <x v="4"/>
    <x v="4"/>
    <s v="TRK93336357"/>
    <n v="5"/>
    <x v="0"/>
    <x v="0"/>
    <n v="2107.1999999999998"/>
  </r>
  <r>
    <x v="1147"/>
    <x v="143"/>
    <x v="1136"/>
    <x v="3"/>
    <n v="2"/>
    <n v="588.29999999999995"/>
    <s v="234 Main St"/>
    <x v="1"/>
    <x v="4"/>
    <s v="TRK22515454"/>
    <n v="2"/>
    <x v="1"/>
    <x v="2"/>
    <n v="1176.5999999999999"/>
  </r>
  <r>
    <x v="1148"/>
    <x v="611"/>
    <x v="1137"/>
    <x v="1"/>
    <n v="1"/>
    <n v="355.15"/>
    <s v="442 Main St"/>
    <x v="4"/>
    <x v="2"/>
    <s v="TRK66241930"/>
    <n v="2"/>
    <x v="0"/>
    <x v="2"/>
    <n v="355.15"/>
  </r>
  <r>
    <x v="1149"/>
    <x v="568"/>
    <x v="1138"/>
    <x v="3"/>
    <n v="2"/>
    <n v="695.29"/>
    <s v="957 Main St"/>
    <x v="2"/>
    <x v="4"/>
    <s v="TRK28789916"/>
    <n v="6"/>
    <x v="1"/>
    <x v="0"/>
    <n v="1390.58"/>
  </r>
  <r>
    <x v="1150"/>
    <x v="215"/>
    <x v="1139"/>
    <x v="6"/>
    <n v="4"/>
    <n v="302.64999999999998"/>
    <s v="119 Main St"/>
    <x v="2"/>
    <x v="1"/>
    <s v="TRK79291524"/>
    <n v="8"/>
    <x v="0"/>
    <x v="1"/>
    <n v="1210.5999999999999"/>
  </r>
  <r>
    <x v="1151"/>
    <x v="22"/>
    <x v="1140"/>
    <x v="3"/>
    <n v="2"/>
    <n v="608.04"/>
    <s v="962 Main St"/>
    <x v="4"/>
    <x v="1"/>
    <s v="TRK69804304"/>
    <n v="4"/>
    <x v="2"/>
    <x v="4"/>
    <n v="1216.08"/>
  </r>
  <r>
    <x v="1152"/>
    <x v="576"/>
    <x v="1141"/>
    <x v="2"/>
    <n v="2"/>
    <n v="344.18"/>
    <s v="533 Main St"/>
    <x v="2"/>
    <x v="0"/>
    <s v="TRK42183078"/>
    <n v="7"/>
    <x v="2"/>
    <x v="1"/>
    <n v="688.36"/>
  </r>
  <r>
    <x v="1153"/>
    <x v="393"/>
    <x v="1142"/>
    <x v="0"/>
    <n v="4"/>
    <n v="696.71"/>
    <s v="276 Main St"/>
    <x v="0"/>
    <x v="0"/>
    <s v="TRK37172138"/>
    <n v="4"/>
    <x v="2"/>
    <x v="0"/>
    <n v="2786.84"/>
  </r>
  <r>
    <x v="1154"/>
    <x v="113"/>
    <x v="1143"/>
    <x v="0"/>
    <n v="3"/>
    <n v="198.63"/>
    <s v="593 Main St"/>
    <x v="4"/>
    <x v="4"/>
    <s v="TRK67589167"/>
    <n v="8"/>
    <x v="0"/>
    <x v="0"/>
    <n v="595.89"/>
  </r>
  <r>
    <x v="1155"/>
    <x v="340"/>
    <x v="1144"/>
    <x v="4"/>
    <n v="4"/>
    <n v="534.57000000000005"/>
    <s v="667 Main St"/>
    <x v="2"/>
    <x v="3"/>
    <s v="TRK62068126"/>
    <n v="6"/>
    <x v="1"/>
    <x v="3"/>
    <n v="2138.2800000000002"/>
  </r>
  <r>
    <x v="1156"/>
    <x v="45"/>
    <x v="1145"/>
    <x v="5"/>
    <n v="4"/>
    <n v="690.78"/>
    <s v="980 Main St"/>
    <x v="2"/>
    <x v="0"/>
    <s v="TRK98234737"/>
    <n v="9"/>
    <x v="2"/>
    <x v="1"/>
    <n v="2763.12"/>
  </r>
  <r>
    <x v="1157"/>
    <x v="382"/>
    <x v="1146"/>
    <x v="0"/>
    <n v="3"/>
    <n v="301.55"/>
    <s v="242 Main St"/>
    <x v="0"/>
    <x v="3"/>
    <s v="TRK21451375"/>
    <n v="5"/>
    <x v="1"/>
    <x v="4"/>
    <n v="904.65000000000009"/>
  </r>
  <r>
    <x v="1158"/>
    <x v="197"/>
    <x v="1147"/>
    <x v="0"/>
    <n v="4"/>
    <n v="27.42"/>
    <s v="661 Main St"/>
    <x v="0"/>
    <x v="4"/>
    <s v="TRK20605418"/>
    <n v="4"/>
    <x v="0"/>
    <x v="1"/>
    <n v="109.68"/>
  </r>
  <r>
    <x v="1159"/>
    <x v="203"/>
    <x v="1148"/>
    <x v="6"/>
    <n v="4"/>
    <n v="466.7"/>
    <s v="874 Main St"/>
    <x v="0"/>
    <x v="2"/>
    <s v="TRK60955607"/>
    <n v="8"/>
    <x v="2"/>
    <x v="0"/>
    <n v="1866.8"/>
  </r>
  <r>
    <x v="1160"/>
    <x v="333"/>
    <x v="1149"/>
    <x v="6"/>
    <n v="1"/>
    <n v="541.64"/>
    <s v="449 Main St"/>
    <x v="0"/>
    <x v="0"/>
    <s v="TRK70255168"/>
    <n v="5"/>
    <x v="0"/>
    <x v="2"/>
    <n v="541.64"/>
  </r>
  <r>
    <x v="1161"/>
    <x v="504"/>
    <x v="1150"/>
    <x v="1"/>
    <n v="1"/>
    <n v="11.39"/>
    <s v="826 Main St"/>
    <x v="4"/>
    <x v="1"/>
    <s v="TRK35969968"/>
    <n v="6"/>
    <x v="3"/>
    <x v="2"/>
    <n v="11.39"/>
  </r>
  <r>
    <x v="1162"/>
    <x v="660"/>
    <x v="1151"/>
    <x v="1"/>
    <n v="2"/>
    <n v="224.37"/>
    <s v="251 Main St"/>
    <x v="0"/>
    <x v="3"/>
    <s v="TRK33125798"/>
    <n v="3"/>
    <x v="3"/>
    <x v="1"/>
    <n v="448.74"/>
  </r>
  <r>
    <x v="1163"/>
    <x v="184"/>
    <x v="1152"/>
    <x v="5"/>
    <n v="3"/>
    <n v="306.29000000000002"/>
    <s v="966 Main St"/>
    <x v="2"/>
    <x v="2"/>
    <s v="TRK19477485"/>
    <n v="7"/>
    <x v="3"/>
    <x v="0"/>
    <n v="918.87000000000012"/>
  </r>
  <r>
    <x v="1164"/>
    <x v="649"/>
    <x v="1153"/>
    <x v="2"/>
    <n v="5"/>
    <n v="315.57"/>
    <s v="340 Main St"/>
    <x v="0"/>
    <x v="3"/>
    <s v="TRK64530489"/>
    <n v="6"/>
    <x v="3"/>
    <x v="2"/>
    <n v="1577.85"/>
  </r>
  <r>
    <x v="1165"/>
    <x v="328"/>
    <x v="1154"/>
    <x v="3"/>
    <n v="3"/>
    <n v="223.79"/>
    <s v="617 Main St"/>
    <x v="0"/>
    <x v="4"/>
    <s v="TRK63460217"/>
    <n v="3"/>
    <x v="2"/>
    <x v="4"/>
    <n v="671.37"/>
  </r>
  <r>
    <x v="1166"/>
    <x v="48"/>
    <x v="1155"/>
    <x v="3"/>
    <n v="3"/>
    <n v="324.47000000000003"/>
    <s v="971 Main St"/>
    <x v="4"/>
    <x v="3"/>
    <s v="TRK37075292"/>
    <n v="4"/>
    <x v="3"/>
    <x v="2"/>
    <n v="973.41000000000008"/>
  </r>
  <r>
    <x v="1167"/>
    <x v="661"/>
    <x v="1156"/>
    <x v="4"/>
    <n v="2"/>
    <n v="92.87"/>
    <s v="360 Main St"/>
    <x v="2"/>
    <x v="4"/>
    <s v="TRK31169396"/>
    <n v="5"/>
    <x v="1"/>
    <x v="3"/>
    <n v="185.74"/>
  </r>
  <r>
    <x v="1168"/>
    <x v="505"/>
    <x v="1157"/>
    <x v="5"/>
    <n v="2"/>
    <n v="331.42"/>
    <s v="297 Main St"/>
    <x v="2"/>
    <x v="3"/>
    <s v="TRK82838108"/>
    <n v="6"/>
    <x v="3"/>
    <x v="4"/>
    <n v="662.84"/>
  </r>
  <r>
    <x v="1169"/>
    <x v="662"/>
    <x v="1158"/>
    <x v="3"/>
    <n v="1"/>
    <n v="525.42999999999995"/>
    <s v="643 Main St"/>
    <x v="4"/>
    <x v="1"/>
    <s v="TRK26794546"/>
    <n v="2"/>
    <x v="0"/>
    <x v="0"/>
    <n v="525.42999999999995"/>
  </r>
  <r>
    <x v="1170"/>
    <x v="567"/>
    <x v="1159"/>
    <x v="4"/>
    <n v="2"/>
    <n v="697.19"/>
    <s v="762 Main St"/>
    <x v="4"/>
    <x v="2"/>
    <s v="TRK40220743"/>
    <n v="7"/>
    <x v="1"/>
    <x v="2"/>
    <n v="1394.38"/>
  </r>
  <r>
    <x v="1171"/>
    <x v="81"/>
    <x v="1160"/>
    <x v="1"/>
    <n v="4"/>
    <n v="518.4"/>
    <s v="699 Main St"/>
    <x v="2"/>
    <x v="3"/>
    <s v="TRK80431998"/>
    <n v="7"/>
    <x v="0"/>
    <x v="3"/>
    <n v="2073.6"/>
  </r>
  <r>
    <x v="1172"/>
    <x v="496"/>
    <x v="1161"/>
    <x v="6"/>
    <n v="3"/>
    <n v="131.96"/>
    <s v="745 Main St"/>
    <x v="2"/>
    <x v="4"/>
    <s v="TRK32550359"/>
    <n v="8"/>
    <x v="2"/>
    <x v="0"/>
    <n v="395.88"/>
  </r>
  <r>
    <x v="1173"/>
    <x v="449"/>
    <x v="1162"/>
    <x v="0"/>
    <n v="1"/>
    <n v="208.36"/>
    <s v="703 Main St"/>
    <x v="1"/>
    <x v="0"/>
    <s v="TRK31079911"/>
    <n v="4"/>
    <x v="1"/>
    <x v="2"/>
    <n v="208.36"/>
  </r>
  <r>
    <x v="1174"/>
    <x v="110"/>
    <x v="1163"/>
    <x v="4"/>
    <n v="3"/>
    <n v="222.34"/>
    <s v="105 Main St"/>
    <x v="2"/>
    <x v="2"/>
    <s v="TRK53737452"/>
    <n v="5"/>
    <x v="3"/>
    <x v="2"/>
    <n v="667.02"/>
  </r>
  <r>
    <x v="1175"/>
    <x v="663"/>
    <x v="1164"/>
    <x v="4"/>
    <n v="3"/>
    <n v="91.74"/>
    <s v="368 Main St"/>
    <x v="0"/>
    <x v="2"/>
    <s v="TRK24139954"/>
    <n v="8"/>
    <x v="1"/>
    <x v="1"/>
    <n v="275.22000000000003"/>
  </r>
  <r>
    <x v="1176"/>
    <x v="340"/>
    <x v="1165"/>
    <x v="2"/>
    <n v="2"/>
    <n v="213.83"/>
    <s v="374 Main St"/>
    <x v="0"/>
    <x v="1"/>
    <s v="TRK55587314"/>
    <n v="2"/>
    <x v="3"/>
    <x v="2"/>
    <n v="427.66"/>
  </r>
  <r>
    <x v="1177"/>
    <x v="664"/>
    <x v="1166"/>
    <x v="4"/>
    <n v="1"/>
    <n v="127.55"/>
    <s v="433 Main St"/>
    <x v="4"/>
    <x v="0"/>
    <s v="TRK44434536"/>
    <n v="3"/>
    <x v="0"/>
    <x v="1"/>
    <n v="127.55"/>
  </r>
  <r>
    <x v="1178"/>
    <x v="50"/>
    <x v="1167"/>
    <x v="0"/>
    <n v="1"/>
    <n v="70.239999999999995"/>
    <s v="456 Main St"/>
    <x v="2"/>
    <x v="1"/>
    <s v="TRK10261578"/>
    <n v="4"/>
    <x v="1"/>
    <x v="4"/>
    <n v="70.239999999999995"/>
  </r>
  <r>
    <x v="1179"/>
    <x v="124"/>
    <x v="1168"/>
    <x v="5"/>
    <n v="5"/>
    <n v="518.54999999999995"/>
    <s v="907 Main St"/>
    <x v="2"/>
    <x v="1"/>
    <s v="TRK48054997"/>
    <n v="6"/>
    <x v="3"/>
    <x v="0"/>
    <n v="2592.75"/>
  </r>
  <r>
    <x v="1180"/>
    <x v="150"/>
    <x v="1169"/>
    <x v="3"/>
    <n v="4"/>
    <n v="298.36"/>
    <s v="722 Main St"/>
    <x v="0"/>
    <x v="4"/>
    <s v="TRK49379882"/>
    <n v="8"/>
    <x v="1"/>
    <x v="4"/>
    <n v="1193.44"/>
  </r>
  <r>
    <x v="1181"/>
    <x v="152"/>
    <x v="1170"/>
    <x v="6"/>
    <n v="3"/>
    <n v="158.74"/>
    <s v="293 Main St"/>
    <x v="1"/>
    <x v="4"/>
    <s v="TRK45708320"/>
    <n v="7"/>
    <x v="1"/>
    <x v="0"/>
    <n v="476.22"/>
  </r>
  <r>
    <x v="1182"/>
    <x v="554"/>
    <x v="1171"/>
    <x v="3"/>
    <n v="2"/>
    <n v="420.29"/>
    <s v="700 Main St"/>
    <x v="3"/>
    <x v="2"/>
    <s v="TRK97834202"/>
    <n v="3"/>
    <x v="0"/>
    <x v="4"/>
    <n v="840.58"/>
  </r>
  <r>
    <x v="1183"/>
    <x v="228"/>
    <x v="1172"/>
    <x v="6"/>
    <n v="1"/>
    <n v="281.52"/>
    <s v="460 Main St"/>
    <x v="3"/>
    <x v="0"/>
    <s v="TRK83653396"/>
    <n v="6"/>
    <x v="3"/>
    <x v="1"/>
    <n v="281.52"/>
  </r>
  <r>
    <x v="1184"/>
    <x v="610"/>
    <x v="1173"/>
    <x v="5"/>
    <n v="1"/>
    <n v="204.08"/>
    <s v="979 Main St"/>
    <x v="3"/>
    <x v="2"/>
    <s v="TRK86297895"/>
    <n v="4"/>
    <x v="2"/>
    <x v="4"/>
    <n v="204.08"/>
  </r>
  <r>
    <x v="1185"/>
    <x v="665"/>
    <x v="1174"/>
    <x v="3"/>
    <n v="1"/>
    <n v="343.31"/>
    <s v="777 Main St"/>
    <x v="3"/>
    <x v="2"/>
    <s v="TRK20605055"/>
    <n v="6"/>
    <x v="0"/>
    <x v="4"/>
    <n v="343.31"/>
  </r>
  <r>
    <x v="1186"/>
    <x v="134"/>
    <x v="1175"/>
    <x v="0"/>
    <n v="1"/>
    <n v="163.32"/>
    <s v="676 Main St"/>
    <x v="4"/>
    <x v="0"/>
    <s v="TRK83702761"/>
    <n v="6"/>
    <x v="3"/>
    <x v="3"/>
    <n v="163.32"/>
  </r>
  <r>
    <x v="1187"/>
    <x v="206"/>
    <x v="1176"/>
    <x v="6"/>
    <n v="2"/>
    <n v="184.6"/>
    <s v="562 Main St"/>
    <x v="3"/>
    <x v="3"/>
    <s v="TRK59962703"/>
    <n v="7"/>
    <x v="3"/>
    <x v="2"/>
    <n v="369.2"/>
  </r>
  <r>
    <x v="1188"/>
    <x v="47"/>
    <x v="1177"/>
    <x v="4"/>
    <n v="2"/>
    <n v="371.29"/>
    <s v="924 Main St"/>
    <x v="3"/>
    <x v="0"/>
    <s v="TRK23086941"/>
    <n v="5"/>
    <x v="3"/>
    <x v="3"/>
    <n v="742.58"/>
  </r>
  <r>
    <x v="1189"/>
    <x v="666"/>
    <x v="1178"/>
    <x v="2"/>
    <n v="5"/>
    <n v="389.22"/>
    <s v="149 Main St"/>
    <x v="4"/>
    <x v="1"/>
    <s v="TRK60856682"/>
    <n v="7"/>
    <x v="2"/>
    <x v="1"/>
    <n v="1946.1"/>
  </r>
  <r>
    <x v="1190"/>
    <x v="647"/>
    <x v="1179"/>
    <x v="6"/>
    <n v="3"/>
    <n v="616.39"/>
    <s v="754 Main St"/>
    <x v="2"/>
    <x v="0"/>
    <s v="TRK82791646"/>
    <n v="6"/>
    <x v="1"/>
    <x v="0"/>
    <n v="1849.17"/>
  </r>
  <r>
    <x v="1191"/>
    <x v="441"/>
    <x v="1180"/>
    <x v="6"/>
    <n v="4"/>
    <n v="376.43"/>
    <s v="809 Main St"/>
    <x v="3"/>
    <x v="4"/>
    <s v="TRK67872709"/>
    <n v="5"/>
    <x v="3"/>
    <x v="0"/>
    <n v="1505.72"/>
  </r>
  <r>
    <x v="1192"/>
    <x v="329"/>
    <x v="1181"/>
    <x v="3"/>
    <n v="3"/>
    <n v="432.85"/>
    <s v="999 Main St"/>
    <x v="1"/>
    <x v="4"/>
    <s v="TRK16240916"/>
    <n v="4"/>
    <x v="2"/>
    <x v="0"/>
    <n v="1298.55"/>
  </r>
  <r>
    <x v="1193"/>
    <x v="667"/>
    <x v="1182"/>
    <x v="2"/>
    <n v="1"/>
    <n v="687.89"/>
    <s v="348 Main St"/>
    <x v="4"/>
    <x v="2"/>
    <s v="TRK38559816"/>
    <n v="1"/>
    <x v="1"/>
    <x v="2"/>
    <n v="687.89"/>
  </r>
  <r>
    <x v="1194"/>
    <x v="614"/>
    <x v="1183"/>
    <x v="4"/>
    <n v="3"/>
    <n v="189.44"/>
    <s v="725 Main St"/>
    <x v="4"/>
    <x v="4"/>
    <s v="TRK62067865"/>
    <n v="4"/>
    <x v="1"/>
    <x v="2"/>
    <n v="568.31999999999994"/>
  </r>
  <r>
    <x v="1195"/>
    <x v="643"/>
    <x v="1184"/>
    <x v="6"/>
    <n v="1"/>
    <n v="107.04"/>
    <s v="392 Main St"/>
    <x v="2"/>
    <x v="1"/>
    <s v="TRK38009181"/>
    <n v="6"/>
    <x v="1"/>
    <x v="4"/>
    <n v="107.04"/>
  </r>
  <r>
    <x v="1196"/>
    <x v="668"/>
    <x v="1185"/>
    <x v="0"/>
    <n v="2"/>
    <n v="662.53"/>
    <s v="778 Main St"/>
    <x v="1"/>
    <x v="1"/>
    <s v="TRK69207593"/>
    <n v="5"/>
    <x v="2"/>
    <x v="3"/>
    <n v="1325.06"/>
  </r>
  <r>
    <x v="1197"/>
    <x v="669"/>
    <x v="1186"/>
    <x v="2"/>
    <n v="2"/>
    <n v="436.84"/>
    <s v="275 Main St"/>
    <x v="1"/>
    <x v="3"/>
    <s v="TRK88039356"/>
    <n v="2"/>
    <x v="1"/>
    <x v="0"/>
    <n v="873.68"/>
  </r>
  <r>
    <x v="1198"/>
    <x v="670"/>
    <x v="1187"/>
    <x v="3"/>
    <n v="4"/>
    <n v="262.52"/>
    <s v="509 Main St"/>
    <x v="0"/>
    <x v="1"/>
    <s v="TRK71683331"/>
    <n v="4"/>
    <x v="3"/>
    <x v="0"/>
    <n v="1050.08"/>
  </r>
  <r>
    <x v="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F01500-00C3-4145-B49C-932FFF6F25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F43" firstHeaderRow="0"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v="56"/>
    </i>
    <i>
      <x v="97"/>
    </i>
    <i>
      <x v="123"/>
    </i>
    <i>
      <x v="211"/>
    </i>
    <i>
      <x v="520"/>
    </i>
    <i>
      <x v="599"/>
    </i>
    <i>
      <x v="648"/>
    </i>
    <i>
      <x v="669"/>
    </i>
    <i>
      <x v="764"/>
    </i>
    <i>
      <x v="781"/>
    </i>
    <i t="grand">
      <x/>
    </i>
  </rowItems>
  <colFields count="1">
    <field x="-2"/>
  </colFields>
  <colItems count="2">
    <i>
      <x/>
    </i>
    <i i="1">
      <x v="1"/>
    </i>
  </colItems>
  <dataFields count="2">
    <dataField name="Count of Order Status" fld="0" subtotal="count" baseField="0" baseItem="0"/>
    <dataField name="Average of TotalPrice" fld="13" subtotal="average" baseField="0" baseItem="0" numFmtId="165"/>
  </dataFields>
  <conditionalFormats count="1">
    <conditionalFormat priority="5">
      <pivotAreas count="1">
        <pivotArea type="data" collapsedLevelsAreSubtotals="1" fieldPosition="0">
          <references count="2">
            <reference field="4294967294" count="1" selected="0">
              <x v="1"/>
            </reference>
            <reference field="2" count="6">
              <x v="56"/>
              <x v="97"/>
              <x v="123"/>
              <x v="403"/>
              <x v="648"/>
              <x v="781"/>
            </reference>
          </references>
        </pivotArea>
      </pivotAreas>
    </conditionalFormat>
  </conditionalFormats>
  <pivotTableStyleInfo name="PivotStyleLight16" showRowHeaders="1" showColHeaders="1" showRowStripes="0" showColStripes="0" showLastColumn="1"/>
  <filters count="1">
    <filter fld="2"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267F3A-2C96-44E7-A079-E60D45AB99C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2:I36"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6">
        <item x="0"/>
        <item sd="0" x="1"/>
        <item sd="0" x="2"/>
        <item sd="0" x="3"/>
        <item x="4"/>
        <item t="default"/>
      </items>
    </pivotField>
  </pivotFields>
  <rowFields count="4">
    <field x="16"/>
    <field x="15"/>
    <field x="14"/>
    <field x="1"/>
  </rowFields>
  <rowItems count="4">
    <i>
      <x v="1"/>
    </i>
    <i>
      <x v="2"/>
    </i>
    <i>
      <x v="3"/>
    </i>
    <i t="grand">
      <x/>
    </i>
  </rowItems>
  <colItems count="1">
    <i/>
  </colItems>
  <dataFields count="1">
    <dataField name="Sum of TotalPrice" fld="13" baseField="16" baseItem="1" numFmtId="165"/>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6" count="1" selected="0">
            <x v="1"/>
          </reference>
        </references>
      </pivotArea>
    </chartFormat>
    <chartFormat chart="9" format="10">
      <pivotArea type="data" outline="0" fieldPosition="0">
        <references count="2">
          <reference field="4294967294" count="1" selected="0">
            <x v="0"/>
          </reference>
          <reference field="16" count="1" selected="0">
            <x v="2"/>
          </reference>
        </references>
      </pivotArea>
    </chartFormat>
    <chartFormat chart="9" format="1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4F1826-4B5A-489C-AB71-CC7EB51FE1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3:D19"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a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v="3"/>
    </i>
    <i>
      <x v="1"/>
    </i>
    <i>
      <x/>
    </i>
    <i>
      <x v="2"/>
    </i>
    <i>
      <x v="4"/>
    </i>
    <i t="grand">
      <x/>
    </i>
  </rowItems>
  <colItems count="1">
    <i/>
  </colItems>
  <dataFields count="1">
    <dataField name="Sum of TotalPrice" fld="13" baseField="0" baseItem="0" numFmtId="165"/>
  </dataFields>
  <chartFormats count="24">
    <chartFormat chart="0" format="1"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8" count="1" selected="0">
            <x v="4"/>
          </reference>
        </references>
      </pivotArea>
    </chartFormat>
    <chartFormat chart="0" format="8">
      <pivotArea type="data" outline="0" fieldPosition="0">
        <references count="2">
          <reference field="4294967294" count="1" selected="0">
            <x v="0"/>
          </reference>
          <reference field="8" count="1" selected="0">
            <x v="3"/>
          </reference>
        </references>
      </pivotArea>
    </chartFormat>
    <chartFormat chart="0" format="9">
      <pivotArea type="data" outline="0" fieldPosition="0">
        <references count="2">
          <reference field="4294967294" count="1" selected="0">
            <x v="0"/>
          </reference>
          <reference field="8" count="1" selected="0">
            <x v="2"/>
          </reference>
        </references>
      </pivotArea>
    </chartFormat>
    <chartFormat chart="0" format="10">
      <pivotArea type="data" outline="0" fieldPosition="0">
        <references count="2">
          <reference field="4294967294" count="1" selected="0">
            <x v="0"/>
          </reference>
          <reference field="8" count="1" selected="0">
            <x v="1"/>
          </reference>
        </references>
      </pivotArea>
    </chartFormat>
    <chartFormat chart="0" format="11">
      <pivotArea type="data" outline="0" fieldPosition="0">
        <references count="2">
          <reference field="4294967294" count="1" selected="0">
            <x v="0"/>
          </reference>
          <reference field="8" count="1" selected="0">
            <x v="0"/>
          </reference>
        </references>
      </pivotArea>
    </chartFormat>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8" count="1" selected="0">
            <x v="4"/>
          </reference>
        </references>
      </pivotArea>
    </chartFormat>
    <chartFormat chart="3" format="32">
      <pivotArea type="data" outline="0" fieldPosition="0">
        <references count="2">
          <reference field="4294967294" count="1" selected="0">
            <x v="0"/>
          </reference>
          <reference field="8" count="1" selected="0">
            <x v="3"/>
          </reference>
        </references>
      </pivotArea>
    </chartFormat>
    <chartFormat chart="3" format="33">
      <pivotArea type="data" outline="0" fieldPosition="0">
        <references count="2">
          <reference field="4294967294" count="1" selected="0">
            <x v="0"/>
          </reference>
          <reference field="8" count="1" selected="0">
            <x v="2"/>
          </reference>
        </references>
      </pivotArea>
    </chartFormat>
    <chartFormat chart="3" format="34">
      <pivotArea type="data" outline="0" fieldPosition="0">
        <references count="2">
          <reference field="4294967294" count="1" selected="0">
            <x v="0"/>
          </reference>
          <reference field="8" count="1" selected="0">
            <x v="1"/>
          </reference>
        </references>
      </pivotArea>
    </chartFormat>
    <chartFormat chart="3" format="35">
      <pivotArea type="data" outline="0" fieldPosition="0">
        <references count="2">
          <reference field="4294967294" count="1" selected="0">
            <x v="0"/>
          </reference>
          <reference field="8" count="1" selected="0">
            <x v="0"/>
          </reference>
        </references>
      </pivotArea>
    </chartFormat>
    <chartFormat chart="4" format="42" series="1">
      <pivotArea type="data" outline="0" fieldPosition="0">
        <references count="1">
          <reference field="4294967294" count="1" selected="0">
            <x v="0"/>
          </reference>
        </references>
      </pivotArea>
    </chartFormat>
    <chartFormat chart="4" format="43">
      <pivotArea type="data" outline="0" fieldPosition="0">
        <references count="2">
          <reference field="4294967294" count="1" selected="0">
            <x v="0"/>
          </reference>
          <reference field="8" count="1" selected="0">
            <x v="4"/>
          </reference>
        </references>
      </pivotArea>
    </chartFormat>
    <chartFormat chart="4" format="44">
      <pivotArea type="data" outline="0" fieldPosition="0">
        <references count="2">
          <reference field="4294967294" count="1" selected="0">
            <x v="0"/>
          </reference>
          <reference field="8" count="1" selected="0">
            <x v="3"/>
          </reference>
        </references>
      </pivotArea>
    </chartFormat>
    <chartFormat chart="4" format="45">
      <pivotArea type="data" outline="0" fieldPosition="0">
        <references count="2">
          <reference field="4294967294" count="1" selected="0">
            <x v="0"/>
          </reference>
          <reference field="8" count="1" selected="0">
            <x v="2"/>
          </reference>
        </references>
      </pivotArea>
    </chartFormat>
    <chartFormat chart="4" format="46">
      <pivotArea type="data" outline="0" fieldPosition="0">
        <references count="2">
          <reference field="4294967294" count="1" selected="0">
            <x v="0"/>
          </reference>
          <reference field="8" count="1" selected="0">
            <x v="1"/>
          </reference>
        </references>
      </pivotArea>
    </chartFormat>
    <chartFormat chart="4" format="47">
      <pivotArea type="data" outline="0" fieldPosition="0">
        <references count="2">
          <reference field="4294967294" count="1" selected="0">
            <x v="0"/>
          </reference>
          <reference field="8" count="1" selected="0">
            <x v="0"/>
          </reference>
        </references>
      </pivotArea>
    </chartFormat>
    <chartFormat chart="5" format="54" series="1">
      <pivotArea type="data" outline="0" fieldPosition="0">
        <references count="1">
          <reference field="4294967294" count="1" selected="0">
            <x v="0"/>
          </reference>
        </references>
      </pivotArea>
    </chartFormat>
    <chartFormat chart="5" format="55">
      <pivotArea type="data" outline="0" fieldPosition="0">
        <references count="2">
          <reference field="4294967294" count="1" selected="0">
            <x v="0"/>
          </reference>
          <reference field="8" count="1" selected="0">
            <x v="4"/>
          </reference>
        </references>
      </pivotArea>
    </chartFormat>
    <chartFormat chart="5" format="56">
      <pivotArea type="data" outline="0" fieldPosition="0">
        <references count="2">
          <reference field="4294967294" count="1" selected="0">
            <x v="0"/>
          </reference>
          <reference field="8" count="1" selected="0">
            <x v="3"/>
          </reference>
        </references>
      </pivotArea>
    </chartFormat>
    <chartFormat chart="5" format="57">
      <pivotArea type="data" outline="0" fieldPosition="0">
        <references count="2">
          <reference field="4294967294" count="1" selected="0">
            <x v="0"/>
          </reference>
          <reference field="8" count="1" selected="0">
            <x v="2"/>
          </reference>
        </references>
      </pivotArea>
    </chartFormat>
    <chartFormat chart="5" format="58">
      <pivotArea type="data" outline="0" fieldPosition="0">
        <references count="2">
          <reference field="4294967294" count="1" selected="0">
            <x v="0"/>
          </reference>
          <reference field="8" count="1" selected="0">
            <x v="1"/>
          </reference>
        </references>
      </pivotArea>
    </chartFormat>
    <chartFormat chart="5" format="59">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80CE19-3E18-476F-8422-59D6ECE3C8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11" firstHeaderRow="0"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Total Orders" fld="0" subtotal="count" baseField="0" baseItem="0"/>
    <dataField name="Average of Quantity"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E309E7-EE90-47FF-AD8D-E05ECF27799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2:F26"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axis="axisRow" showAll="0" sortType="ascending">
      <items count="5">
        <item x="1"/>
        <item x="0"/>
        <item x="3"/>
        <item h="1" x="2"/>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v="2"/>
    </i>
    <i>
      <x v="1"/>
    </i>
    <i>
      <x/>
    </i>
    <i t="grand">
      <x/>
    </i>
  </rowItems>
  <colItems count="1">
    <i/>
  </colItems>
  <dataFields count="1">
    <dataField name="Sum of TotalPrice" fld="13" baseField="0" baseItem="0" numFmtId="165"/>
  </dataFields>
  <chartFormats count="12">
    <chartFormat chart="5" format="37" series="1">
      <pivotArea type="data" outline="0" fieldPosition="0">
        <references count="1">
          <reference field="4294967294" count="1" selected="0">
            <x v="0"/>
          </reference>
        </references>
      </pivotArea>
    </chartFormat>
    <chartFormat chart="7" format="54" series="1">
      <pivotArea type="data" outline="0" fieldPosition="0">
        <references count="1">
          <reference field="4294967294" count="1" selected="0">
            <x v="0"/>
          </reference>
        </references>
      </pivotArea>
    </chartFormat>
    <chartFormat chart="8" format="62" series="1">
      <pivotArea type="data" outline="0" fieldPosition="0">
        <references count="1">
          <reference field="4294967294" count="1" selected="0">
            <x v="0"/>
          </reference>
        </references>
      </pivotArea>
    </chartFormat>
    <chartFormat chart="11" format="62" series="1">
      <pivotArea type="data" outline="0" fieldPosition="0">
        <references count="1">
          <reference field="4294967294" count="1" selected="0">
            <x v="0"/>
          </reference>
        </references>
      </pivotArea>
    </chartFormat>
    <chartFormat chart="11" format="63">
      <pivotArea type="data" outline="0" fieldPosition="0">
        <references count="2">
          <reference field="4294967294" count="1" selected="0">
            <x v="0"/>
          </reference>
          <reference field="11" count="1" selected="0">
            <x v="0"/>
          </reference>
        </references>
      </pivotArea>
    </chartFormat>
    <chartFormat chart="11" format="64">
      <pivotArea type="data" outline="0" fieldPosition="0">
        <references count="2">
          <reference field="4294967294" count="1" selected="0">
            <x v="0"/>
          </reference>
          <reference field="11" count="1" selected="0">
            <x v="1"/>
          </reference>
        </references>
      </pivotArea>
    </chartFormat>
    <chartFormat chart="11" format="65">
      <pivotArea type="data" outline="0" fieldPosition="0">
        <references count="2">
          <reference field="4294967294" count="1" selected="0">
            <x v="0"/>
          </reference>
          <reference field="11" count="1" selected="0">
            <x v="2"/>
          </reference>
        </references>
      </pivotArea>
    </chartFormat>
    <chartFormat chart="7" format="58">
      <pivotArea type="data" outline="0" fieldPosition="0">
        <references count="2">
          <reference field="4294967294" count="1" selected="0">
            <x v="0"/>
          </reference>
          <reference field="11" count="1" selected="0">
            <x v="0"/>
          </reference>
        </references>
      </pivotArea>
    </chartFormat>
    <chartFormat chart="7" format="59">
      <pivotArea type="data" outline="0" fieldPosition="0">
        <references count="2">
          <reference field="4294967294" count="1" selected="0">
            <x v="0"/>
          </reference>
          <reference field="11" count="1" selected="0">
            <x v="1"/>
          </reference>
        </references>
      </pivotArea>
    </chartFormat>
    <chartFormat chart="7" format="60">
      <pivotArea type="data" outline="0" fieldPosition="0">
        <references count="2">
          <reference field="4294967294" count="1" selected="0">
            <x v="0"/>
          </reference>
          <reference field="11" count="1" selected="0">
            <x v="2"/>
          </reference>
        </references>
      </pivotArea>
    </chartFormat>
    <chartFormat chart="11" format="66">
      <pivotArea type="data" outline="0" fieldPosition="0">
        <references count="2">
          <reference field="4294967294" count="1" selected="0">
            <x v="0"/>
          </reference>
          <reference field="11" count="1" selected="0">
            <x v="3"/>
          </reference>
        </references>
      </pivotArea>
    </chartFormat>
    <chartFormat chart="7" format="6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534B92-27A8-4432-98E6-19C501757A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K29" firstHeaderRow="0"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v="56"/>
    </i>
    <i>
      <x v="97"/>
    </i>
    <i>
      <x v="123"/>
    </i>
    <i>
      <x v="403"/>
    </i>
    <i>
      <x v="648"/>
    </i>
    <i>
      <x v="781"/>
    </i>
    <i t="grand">
      <x/>
    </i>
  </rowItems>
  <colFields count="1">
    <field x="-2"/>
  </colFields>
  <colItems count="2">
    <i>
      <x/>
    </i>
    <i i="1">
      <x v="1"/>
    </i>
  </colItems>
  <dataFields count="2">
    <dataField name="Count of Order Status" fld="0" subtotal="count" baseField="0" baseItem="0"/>
    <dataField name="Sum of TotalPrice" fld="13" baseField="0" baseItem="0" numFmtId="165"/>
  </dataFields>
  <conditionalFormats count="1">
    <conditionalFormat priority="6">
      <pivotAreas count="1">
        <pivotArea type="data" collapsedLevelsAreSubtotals="1" fieldPosition="0">
          <references count="2">
            <reference field="4294967294" count="1" selected="0">
              <x v="1"/>
            </reference>
            <reference field="2" count="6">
              <x v="56"/>
              <x v="97"/>
              <x v="123"/>
              <x v="403"/>
              <x v="648"/>
              <x v="781"/>
            </reference>
          </references>
        </pivotArea>
      </pivotAreas>
    </conditionalFormat>
  </conditionalFormats>
  <pivotTableStyleInfo name="PivotStyleLight16" showRowHeaders="1" showColHeaders="1" showRowStripes="0" showColStripes="0" showLastColumn="1"/>
  <filters count="1">
    <filter fld="2" type="count" evalOrder="-1" id="4" iMeasureFld="1">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A5177D-3792-436D-9BA7-E555D690EA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Avg. Orders"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6E2E6F-0572-4299-B93C-72AD99D57B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B33"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03038-F6CB-4101-90C4-3796FA5171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3:K11" firstHeaderRow="0"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items count="5">
        <item x="1"/>
        <item x="0"/>
        <item x="3"/>
        <item x="2"/>
        <item t="default"/>
      </items>
    </pivotField>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Fields count="1">
    <field x="-2"/>
  </colFields>
  <colItems count="2">
    <i>
      <x/>
    </i>
    <i i="1">
      <x v="1"/>
    </i>
  </colItems>
  <dataFields count="2">
    <dataField name="Sum of Quantity" fld="4" baseField="0" baseItem="0"/>
    <dataField name="Sum of TotalPrice" fld="13" baseField="0" baseItem="0" numFmtId="165"/>
  </dataFields>
  <conditionalFormats count="2">
    <conditionalFormat priority="9">
      <pivotAreas count="1">
        <pivotArea fieldPosition="0">
          <references count="1">
            <reference field="3" count="0"/>
          </references>
        </pivotArea>
      </pivotAreas>
    </conditionalFormat>
    <conditionalFormat priority="7">
      <pivotAreas count="1">
        <pivotArea type="data" collapsedLevelsAreSubtotals="1" fieldPosition="0">
          <references count="2">
            <reference field="4294967294" count="1" selected="0">
              <x v="1"/>
            </reference>
            <reference field="3" count="7">
              <x v="0"/>
              <x v="1"/>
              <x v="2"/>
              <x v="3"/>
              <x v="4"/>
              <x v="5"/>
              <x v="6"/>
            </reference>
          </references>
        </pivotArea>
      </pivotAreas>
    </conditionalFormat>
  </conditional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1"/>
          </reference>
        </references>
      </pivotArea>
    </chartFormat>
    <chartFormat chart="16" format="9"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 chart="18" format="13"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1"/>
          </reference>
        </references>
      </pivotArea>
    </chartFormat>
    <chartFormat chart="22" format="21" series="1">
      <pivotArea type="data" outline="0" fieldPosition="0">
        <references count="1">
          <reference field="4294967294" count="1" selected="0">
            <x v="0"/>
          </reference>
        </references>
      </pivotArea>
    </chartFormat>
    <chartFormat chart="22" format="22">
      <pivotArea type="data" outline="0" fieldPosition="0">
        <references count="2">
          <reference field="4294967294" count="1" selected="0">
            <x v="1"/>
          </reference>
          <reference field="3" count="1" selected="0">
            <x v="5"/>
          </reference>
        </references>
      </pivotArea>
    </chartFormat>
    <chartFormat chart="22" format="23">
      <pivotArea type="data" outline="0" fieldPosition="0">
        <references count="2">
          <reference field="4294967294" count="1" selected="0">
            <x v="1"/>
          </reference>
          <reference field="3" count="1" selected="0">
            <x v="0"/>
          </reference>
        </references>
      </pivotArea>
    </chartFormat>
    <chartFormat chart="22" format="24">
      <pivotArea type="data" outline="0" fieldPosition="0">
        <references count="2">
          <reference field="4294967294" count="1" selected="0">
            <x v="1"/>
          </reference>
          <reference field="3" count="1" selected="0">
            <x v="2"/>
          </reference>
        </references>
      </pivotArea>
    </chartFormat>
    <chartFormat chart="22" format="25">
      <pivotArea type="data" outline="0" fieldPosition="0">
        <references count="2">
          <reference field="4294967294" count="1" selected="0">
            <x v="1"/>
          </reference>
          <reference field="3" count="1" selected="0">
            <x v="6"/>
          </reference>
        </references>
      </pivotArea>
    </chartFormat>
    <chartFormat chart="22" format="26">
      <pivotArea type="data" outline="0" fieldPosition="0">
        <references count="2">
          <reference field="4294967294" count="1" selected="0">
            <x v="1"/>
          </reference>
          <reference field="3" count="1" selected="0">
            <x v="3"/>
          </reference>
        </references>
      </pivotArea>
    </chartFormat>
    <chartFormat chart="22" format="27">
      <pivotArea type="data" outline="0" fieldPosition="0">
        <references count="2">
          <reference field="4294967294" count="1" selected="0">
            <x v="1"/>
          </reference>
          <reference field="3" count="1" selected="0">
            <x v="1"/>
          </reference>
        </references>
      </pivotArea>
    </chartFormat>
    <chartFormat chart="22" format="28">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96F6C5-B837-459E-8C88-2B82A44189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3:J19"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Price" fld="13" baseField="0" baseItem="0" numFmtId="165"/>
  </dataFields>
  <conditionalFormats count="1">
    <conditionalFormat priority="8">
      <pivotAreas count="1">
        <pivotArea type="data" collapsedLevelsAreSubtotals="1" fieldPosition="0">
          <references count="2">
            <reference field="4294967294" count="1" selected="0">
              <x v="0"/>
            </reference>
            <reference field="7" count="5">
              <x v="0"/>
              <x v="1"/>
              <x v="2"/>
              <x v="3"/>
              <x v="4"/>
            </reference>
          </references>
        </pivotArea>
      </pivotAreas>
    </conditionalFormat>
  </conditional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4"/>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2DA548-B5AD-4AA6-83DB-777A568093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28"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showAll="0">
      <items count="6">
        <item x="1"/>
        <item x="3"/>
        <item x="4"/>
        <item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um of TotalPrice" fld="13" baseField="0" baseItem="0" numFmtId="165"/>
  </dataFields>
  <chartFormats count="9">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2" count="1" selected="0">
            <x v="0"/>
          </reference>
        </references>
      </pivotArea>
    </chartFormat>
    <chartFormat chart="9" format="15">
      <pivotArea type="data" outline="0" fieldPosition="0">
        <references count="2">
          <reference field="4294967294" count="1" selected="0">
            <x v="0"/>
          </reference>
          <reference field="12" count="1" selected="0">
            <x v="2"/>
          </reference>
        </references>
      </pivotArea>
    </chartFormat>
    <chartFormat chart="9" format="16">
      <pivotArea type="data" outline="0" fieldPosition="0">
        <references count="2">
          <reference field="4294967294" count="1" selected="0">
            <x v="0"/>
          </reference>
          <reference field="12" count="1" selected="0">
            <x v="1"/>
          </reference>
        </references>
      </pivotArea>
    </chartFormat>
    <chartFormat chart="9" format="1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5E25C1-CBE9-468F-BF01-B3AA1DD427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85:H93" firstHeaderRow="0"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items count="5">
        <item x="1"/>
        <item x="0"/>
        <item x="3"/>
        <item x="2"/>
        <item t="default"/>
      </items>
    </pivotField>
    <pivotField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Sum of Quantity" fld="4" baseField="0" baseItem="0"/>
    <dataField name="Sum of TotalPrice" fld="13" baseField="0" baseItem="0" numFmtId="165"/>
  </dataFields>
  <conditionalFormats count="2">
    <conditionalFormat priority="3">
      <pivotAreas count="1">
        <pivotArea fieldPosition="0">
          <references count="1">
            <reference field="3" count="0"/>
          </references>
        </pivotArea>
      </pivotAreas>
    </conditionalFormat>
    <conditionalFormat priority="2">
      <pivotAreas count="1">
        <pivotArea type="data" collapsedLevelsAreSubtotals="1" fieldPosition="0">
          <references count="2">
            <reference field="4294967294" count="1" selected="0">
              <x v="1"/>
            </reference>
            <reference field="3" count="7">
              <x v="0"/>
              <x v="1"/>
              <x v="2"/>
              <x v="3"/>
              <x v="4"/>
              <x v="5"/>
              <x v="6"/>
            </reference>
          </references>
        </pivotArea>
      </pivotAreas>
    </conditionalFormat>
  </conditional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1"/>
          </reference>
        </references>
      </pivotArea>
    </chartFormat>
    <chartFormat chart="1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A59B85-C1F9-4EC4-96B7-442483CE29DB}"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4A4AF73F-B1C9-4AEF-960D-733891284689}" sourceName="CouponCode">
  <pivotTables>
    <pivotTable tabId="3" name="PivotTable3"/>
  </pivotTables>
  <data>
    <tabular pivotCacheId="1188131798">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AFB79016-CF84-44D8-B232-EF98D8DDD239}" sourceName="ReferralSource">
  <pivotTables>
    <pivotTable tabId="3" name="PivotTable3"/>
  </pivotTables>
  <data>
    <tabular pivotCacheId="1188131798">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1A3C745F-2C7F-48E4-B9DF-9C47552ED4F9}" sourceName="Years (Date)">
  <pivotTables>
    <pivotTable tabId="3" name="PivotTable3"/>
    <pivotTable tabId="3" name="PivotTable1"/>
    <pivotTable tabId="3" name="PivotTable10"/>
    <pivotTable tabId="3" name="PivotTable11"/>
    <pivotTable tabId="3" name="PivotTable12"/>
    <pivotTable tabId="3" name="PivotTable2"/>
    <pivotTable tabId="3" name="PivotTable4"/>
    <pivotTable tabId="3" name="PivotTable5"/>
    <pivotTable tabId="3" name="PivotTable6"/>
    <pivotTable tabId="3" name="PivotTable7"/>
    <pivotTable tabId="3" name="PivotTable8"/>
  </pivotTables>
  <data>
    <tabular pivotCacheId="1188131798">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1" xr10:uid="{27004F3B-00A2-4750-ACC8-8B557D7E6C73}" sourceName="CouponCode">
  <pivotTables>
    <pivotTable tabId="3" name="PivotTable12"/>
  </pivotTables>
  <data>
    <tabular pivotCacheId="1188131798">
      <items count="4">
        <i x="1" s="1"/>
        <i x="0" s="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Code" xr10:uid="{C4F63EA4-8BDB-4155-B396-EEDF239E97F8}" cache="Slicer_CouponCode" caption="CouponCode" rowHeight="241300"/>
  <slicer name="ReferralSource" xr10:uid="{19DA4AEB-2F83-4B9D-AE60-D2227A33C6E4}" cache="Slicer_ReferralSource" caption="ReferralSource" rowHeight="241300"/>
  <slicer name="Years (Date)" xr10:uid="{B8CA0CF3-B81A-4398-9542-920AC6F290C5}" cache="Slicer_Years__Date1" caption="Years (Date)" rowHeight="241300"/>
  <slicer name="CouponCode 1" xr10:uid="{71C9D997-40C8-49A4-9661-40994D1150F1}" cache="Slicer_CouponCode1" caption="CouponC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Source 1" xr10:uid="{D3FC35F1-69D0-4451-AA90-6E4453838AF5}" cache="Slicer_ReferralSource" caption="ReferralSource" showCaption="0" style="Slicer Style 1" rowHeight="241300"/>
  <slicer name="Years (Date) 2" xr10:uid="{AA52070A-0C0D-412D-AF88-8D237267E481}" cache="Slicer_Years__Date1" caption="Years (Date)" showCaption="0" style="Slicer Style 1" rowHeight="241300"/>
  <slicer name="CouponCode 2" xr10:uid="{D49EDAAC-A9AB-4CB3-AC7B-BF901D03A84F}" cache="Slicer_CouponCode1" caption="CouponCode"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6CC2C-0CFD-445F-973F-F01D4A3D8F62}" name="Sheet1" displayName="Sheet1" ref="A1:N1201" tableType="queryTable" totalsRowShown="0">
  <autoFilter ref="A1:N1201" xr:uid="{71D6CC2C-0CFD-445F-973F-F01D4A3D8F62}"/>
  <tableColumns count="14">
    <tableColumn id="1" xr3:uid="{39A78FBD-F6C1-487D-92EE-DAEA21336C6A}" uniqueName="1" name="OrderID" queryTableFieldId="1" dataDxfId="9"/>
    <tableColumn id="2" xr3:uid="{7BF42D02-605A-4CA1-866E-CB62A1A6EAB1}" uniqueName="2" name="Date" queryTableFieldId="2" dataDxfId="8"/>
    <tableColumn id="3" xr3:uid="{14963C85-3879-440F-A981-109466224F4B}" uniqueName="3" name="CustomerID" queryTableFieldId="3" dataDxfId="7"/>
    <tableColumn id="4" xr3:uid="{8D1F9A44-A3DA-49BE-BDA5-F140FD7E766C}" uniqueName="4" name="Product" queryTableFieldId="4" dataDxfId="6"/>
    <tableColumn id="5" xr3:uid="{BF92A952-9215-4154-9037-DA9F0EF5DDDA}" uniqueName="5" name="Quantity" queryTableFieldId="5"/>
    <tableColumn id="6" xr3:uid="{16232B26-C40B-4C50-9221-51EFFDEA242C}" uniqueName="6" name="UnitPrice" queryTableFieldId="6"/>
    <tableColumn id="7" xr3:uid="{715EA0A2-0E21-422A-9DF7-0E8D42A37484}" uniqueName="7" name="ShippingAddress" queryTableFieldId="7" dataDxfId="5"/>
    <tableColumn id="8" xr3:uid="{26FE5796-181A-450E-88E7-A7510A85A557}" uniqueName="8" name="PaymentMethod" queryTableFieldId="8" dataDxfId="4"/>
    <tableColumn id="9" xr3:uid="{0C3FC3D3-9209-4872-A9F2-C8588D91E4FA}" uniqueName="9" name="OrderStatus" queryTableFieldId="9" dataDxfId="3"/>
    <tableColumn id="10" xr3:uid="{EE5E7E4E-2DDA-4FE2-8BC9-BC98E53B84E7}" uniqueName="10" name="TrackingNumber" queryTableFieldId="10" dataDxfId="2"/>
    <tableColumn id="11" xr3:uid="{57270E75-7EBF-447F-BFF3-FCBD434E1525}" uniqueName="11" name="ItemsInCart" queryTableFieldId="11"/>
    <tableColumn id="12" xr3:uid="{EAEE6A42-BD77-4B3E-AE3A-48AE1BD24F24}" uniqueName="12" name="CouponCode" queryTableFieldId="12" dataDxfId="1"/>
    <tableColumn id="13" xr3:uid="{4D35C8EB-9E23-49D0-A503-3B1862B49B0F}" uniqueName="13" name="ReferralSource" queryTableFieldId="13" dataDxfId="0"/>
    <tableColumn id="14" xr3:uid="{9D0089D8-59D2-4AAE-B580-571814996D4D}" uniqueName="14" name="TotalPrice" queryTableFieldId="14"/>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59173-D5B5-467F-AF50-9D5A66D8642B}">
  <dimension ref="A3:K103"/>
  <sheetViews>
    <sheetView tabSelected="1" zoomScale="80" zoomScaleNormal="80" workbookViewId="0">
      <selection activeCell="G13" sqref="G13"/>
    </sheetView>
  </sheetViews>
  <sheetFormatPr defaultRowHeight="15" x14ac:dyDescent="0.25"/>
  <cols>
    <col min="1" max="1" width="14.140625" bestFit="1" customWidth="1"/>
    <col min="2" max="2" width="17" bestFit="1" customWidth="1"/>
    <col min="3" max="3" width="14.140625" bestFit="1" customWidth="1"/>
    <col min="4" max="4" width="17" bestFit="1" customWidth="1"/>
    <col min="5" max="5" width="14.140625" bestFit="1" customWidth="1"/>
    <col min="6" max="6" width="17" bestFit="1" customWidth="1"/>
    <col min="7" max="7" width="15.85546875" bestFit="1" customWidth="1"/>
    <col min="8" max="8" width="17" bestFit="1" customWidth="1"/>
    <col min="9" max="9" width="14.140625" bestFit="1" customWidth="1"/>
    <col min="10" max="11" width="17" bestFit="1" customWidth="1"/>
    <col min="12" max="12" width="22.28515625" customWidth="1"/>
  </cols>
  <sheetData>
    <row r="3" spans="1:11" x14ac:dyDescent="0.25">
      <c r="A3" s="4" t="s">
        <v>4284</v>
      </c>
      <c r="B3" t="s">
        <v>4287</v>
      </c>
      <c r="D3" s="4" t="s">
        <v>4284</v>
      </c>
      <c r="E3" t="s">
        <v>4286</v>
      </c>
      <c r="F3" t="s">
        <v>4292</v>
      </c>
      <c r="I3" s="4" t="s">
        <v>4284</v>
      </c>
      <c r="J3" t="s">
        <v>4283</v>
      </c>
      <c r="K3" t="s">
        <v>4288</v>
      </c>
    </row>
    <row r="4" spans="1:11" x14ac:dyDescent="0.25">
      <c r="A4" s="5" t="s">
        <v>2406</v>
      </c>
      <c r="B4" s="6">
        <v>3.1573033707865168</v>
      </c>
      <c r="D4" s="5" t="s">
        <v>2406</v>
      </c>
      <c r="E4">
        <v>178</v>
      </c>
      <c r="F4" s="6">
        <v>3.1573033707865168</v>
      </c>
      <c r="I4" s="5" t="s">
        <v>2406</v>
      </c>
      <c r="J4">
        <v>562</v>
      </c>
      <c r="K4" s="7">
        <v>195620.11000000002</v>
      </c>
    </row>
    <row r="5" spans="1:11" x14ac:dyDescent="0.25">
      <c r="A5" s="5" t="s">
        <v>2409</v>
      </c>
      <c r="B5" s="6">
        <v>2.9882352941176471</v>
      </c>
      <c r="D5" s="5" t="s">
        <v>2409</v>
      </c>
      <c r="E5">
        <v>170</v>
      </c>
      <c r="F5" s="6">
        <v>2.9882352941176471</v>
      </c>
      <c r="I5" s="5" t="s">
        <v>2407</v>
      </c>
      <c r="J5">
        <v>542</v>
      </c>
      <c r="K5" s="7">
        <v>195612.60999999996</v>
      </c>
    </row>
    <row r="6" spans="1:11" x14ac:dyDescent="0.25">
      <c r="A6" s="5" t="s">
        <v>2408</v>
      </c>
      <c r="B6" s="6">
        <v>3.0924855491329479</v>
      </c>
      <c r="D6" s="5" t="s">
        <v>2408</v>
      </c>
      <c r="E6">
        <v>173</v>
      </c>
      <c r="F6" s="6">
        <v>3.0924855491329479</v>
      </c>
      <c r="I6" s="5" t="s">
        <v>2408</v>
      </c>
      <c r="J6">
        <v>535</v>
      </c>
      <c r="K6" s="7">
        <v>192126.55999999994</v>
      </c>
    </row>
    <row r="7" spans="1:11" x14ac:dyDescent="0.25">
      <c r="A7" s="5" t="s">
        <v>2403</v>
      </c>
      <c r="B7" s="6">
        <v>2.9447852760736195</v>
      </c>
      <c r="D7" s="5" t="s">
        <v>2403</v>
      </c>
      <c r="E7">
        <v>163</v>
      </c>
      <c r="F7" s="6">
        <v>2.9447852760736195</v>
      </c>
      <c r="I7" s="5" t="s">
        <v>2405</v>
      </c>
      <c r="J7">
        <v>497</v>
      </c>
      <c r="K7" s="7">
        <v>186568.95000000007</v>
      </c>
    </row>
    <row r="8" spans="1:11" x14ac:dyDescent="0.25">
      <c r="A8" s="5" t="s">
        <v>2404</v>
      </c>
      <c r="B8" s="6">
        <v>2.6346153846153846</v>
      </c>
      <c r="D8" s="5" t="s">
        <v>2404</v>
      </c>
      <c r="E8">
        <v>156</v>
      </c>
      <c r="F8" s="6">
        <v>2.6346153846153846</v>
      </c>
      <c r="I8" s="5" t="s">
        <v>2403</v>
      </c>
      <c r="J8">
        <v>480</v>
      </c>
      <c r="K8" s="7">
        <v>175651.40999999997</v>
      </c>
    </row>
    <row r="9" spans="1:11" x14ac:dyDescent="0.25">
      <c r="A9" s="5" t="s">
        <v>2407</v>
      </c>
      <c r="B9" s="6">
        <v>2.9944751381215471</v>
      </c>
      <c r="D9" s="5" t="s">
        <v>2407</v>
      </c>
      <c r="E9">
        <v>181</v>
      </c>
      <c r="F9" s="6">
        <v>2.9944751381215471</v>
      </c>
      <c r="I9" s="5" t="s">
        <v>2409</v>
      </c>
      <c r="J9">
        <v>508</v>
      </c>
      <c r="K9" s="7">
        <v>167459.93</v>
      </c>
    </row>
    <row r="10" spans="1:11" x14ac:dyDescent="0.25">
      <c r="A10" s="5" t="s">
        <v>2405</v>
      </c>
      <c r="B10" s="6">
        <v>2.7765363128491618</v>
      </c>
      <c r="D10" s="5" t="s">
        <v>2405</v>
      </c>
      <c r="E10">
        <v>179</v>
      </c>
      <c r="F10" s="6">
        <v>2.7765363128491618</v>
      </c>
      <c r="I10" s="5" t="s">
        <v>2404</v>
      </c>
      <c r="J10">
        <v>411</v>
      </c>
      <c r="K10" s="7">
        <v>151722.39000000001</v>
      </c>
    </row>
    <row r="11" spans="1:11" x14ac:dyDescent="0.25">
      <c r="A11" s="5" t="s">
        <v>4285</v>
      </c>
      <c r="B11" s="6">
        <v>2.9458333333333333</v>
      </c>
      <c r="D11" s="5" t="s">
        <v>4285</v>
      </c>
      <c r="E11">
        <v>1200</v>
      </c>
      <c r="F11" s="6">
        <v>2.9458333333333333</v>
      </c>
      <c r="I11" s="5" t="s">
        <v>4285</v>
      </c>
      <c r="J11">
        <v>3535</v>
      </c>
      <c r="K11" s="7">
        <v>1264761.96</v>
      </c>
    </row>
    <row r="13" spans="1:11" x14ac:dyDescent="0.25">
      <c r="C13" s="4" t="s">
        <v>4284</v>
      </c>
      <c r="D13" t="s">
        <v>4288</v>
      </c>
      <c r="I13" s="4" t="s">
        <v>4284</v>
      </c>
      <c r="J13" t="s">
        <v>4288</v>
      </c>
    </row>
    <row r="14" spans="1:11" x14ac:dyDescent="0.25">
      <c r="A14" cm="1">
        <f t="array" ref="A14">MEDIAN(_xlfn._xlws.FILTER(Sheet1!E2:E1201,Sheet1!D2:D1201="Laptop"))</f>
        <v>3</v>
      </c>
      <c r="C14" s="5" t="s">
        <v>3073</v>
      </c>
      <c r="D14" s="7">
        <v>242600.31999999998</v>
      </c>
      <c r="I14" s="5" t="s">
        <v>3067</v>
      </c>
      <c r="J14" s="7">
        <v>263847.62999999989</v>
      </c>
    </row>
    <row r="15" spans="1:11" x14ac:dyDescent="0.25">
      <c r="A15" cm="1">
        <f t="array" ref="A15">MEDIAN(_xlfn._xlws.FILTER(Sheet1!E3:E1202,Sheet1!D3:D1202="Chair"))</f>
        <v>3</v>
      </c>
      <c r="C15" s="5" t="s">
        <v>3072</v>
      </c>
      <c r="D15" s="7">
        <v>243277.70000000013</v>
      </c>
      <c r="I15" s="5" t="s">
        <v>3066</v>
      </c>
      <c r="J15" s="7">
        <v>262442.94000000012</v>
      </c>
    </row>
    <row r="16" spans="1:11" x14ac:dyDescent="0.25">
      <c r="A16" cm="1">
        <f t="array" ref="A16">MEDIAN(_xlfn._xlws.FILTER(Sheet1!E4:E1203,Sheet1!D4:D1203="Monitor"))</f>
        <v>3</v>
      </c>
      <c r="C16" s="5" t="s">
        <v>3070</v>
      </c>
      <c r="D16" s="7">
        <v>246159.57999999987</v>
      </c>
      <c r="I16" s="5" t="s">
        <v>3069</v>
      </c>
      <c r="J16" s="7">
        <v>259786.28999999992</v>
      </c>
    </row>
    <row r="17" spans="1:11" x14ac:dyDescent="0.25">
      <c r="C17" s="5" t="s">
        <v>3074</v>
      </c>
      <c r="D17" s="7">
        <v>256328.15000000002</v>
      </c>
      <c r="I17" s="5" t="s">
        <v>3068</v>
      </c>
      <c r="J17" s="7">
        <v>246323.9200000001</v>
      </c>
    </row>
    <row r="18" spans="1:11" x14ac:dyDescent="0.25">
      <c r="C18" s="5" t="s">
        <v>3071</v>
      </c>
      <c r="D18" s="7">
        <v>276396.20999999996</v>
      </c>
      <c r="I18" s="5" t="s">
        <v>3065</v>
      </c>
      <c r="J18" s="7">
        <v>232361.17999999996</v>
      </c>
    </row>
    <row r="19" spans="1:11" x14ac:dyDescent="0.25">
      <c r="C19" s="5" t="s">
        <v>4285</v>
      </c>
      <c r="D19" s="7">
        <v>1264761.96</v>
      </c>
      <c r="I19" s="5" t="s">
        <v>4285</v>
      </c>
      <c r="J19" s="7">
        <v>1264761.96</v>
      </c>
    </row>
    <row r="22" spans="1:11" x14ac:dyDescent="0.25">
      <c r="A22" s="4" t="s">
        <v>4284</v>
      </c>
      <c r="B22" t="s">
        <v>4288</v>
      </c>
      <c r="E22" s="4" t="s">
        <v>4284</v>
      </c>
      <c r="F22" t="s">
        <v>4288</v>
      </c>
      <c r="I22" s="4" t="s">
        <v>4284</v>
      </c>
      <c r="J22" t="s">
        <v>4289</v>
      </c>
      <c r="K22" t="s">
        <v>4288</v>
      </c>
    </row>
    <row r="23" spans="1:11" x14ac:dyDescent="0.25">
      <c r="A23" s="5" t="s">
        <v>4278</v>
      </c>
      <c r="B23" s="7">
        <v>275285.45000000007</v>
      </c>
      <c r="E23" s="5" t="s">
        <v>4277</v>
      </c>
      <c r="F23" s="7">
        <v>302483.54000000015</v>
      </c>
      <c r="I23" s="5" t="s">
        <v>1683</v>
      </c>
      <c r="J23">
        <v>1</v>
      </c>
      <c r="K23" s="7">
        <v>3384.9</v>
      </c>
    </row>
    <row r="24" spans="1:11" x14ac:dyDescent="0.25">
      <c r="A24" s="5" t="s">
        <v>4280</v>
      </c>
      <c r="B24" s="7">
        <v>261808.55000000002</v>
      </c>
      <c r="E24" s="5" t="s">
        <v>4275</v>
      </c>
      <c r="F24" s="7">
        <v>304840.02000000008</v>
      </c>
      <c r="I24" s="5" t="s">
        <v>1321</v>
      </c>
      <c r="J24">
        <v>1</v>
      </c>
      <c r="K24" s="7">
        <v>3353.75</v>
      </c>
    </row>
    <row r="25" spans="1:11" x14ac:dyDescent="0.25">
      <c r="A25" s="5" t="s">
        <v>4282</v>
      </c>
      <c r="B25" s="7">
        <v>250441.47999999998</v>
      </c>
      <c r="E25" s="5" t="s">
        <v>4276</v>
      </c>
      <c r="F25" s="7">
        <v>335036.99000000028</v>
      </c>
      <c r="I25" s="5" t="s">
        <v>1542</v>
      </c>
      <c r="J25">
        <v>1</v>
      </c>
      <c r="K25" s="7">
        <v>3370.2</v>
      </c>
    </row>
    <row r="26" spans="1:11" x14ac:dyDescent="0.25">
      <c r="A26" s="5" t="s">
        <v>4281</v>
      </c>
      <c r="B26" s="7">
        <v>250410.9</v>
      </c>
      <c r="E26" s="5" t="s">
        <v>4285</v>
      </c>
      <c r="F26" s="7">
        <v>942360.55000000051</v>
      </c>
      <c r="I26" s="5" t="s">
        <v>1480</v>
      </c>
      <c r="J26">
        <v>2</v>
      </c>
      <c r="K26" s="7">
        <v>5723.23</v>
      </c>
    </row>
    <row r="27" spans="1:11" x14ac:dyDescent="0.25">
      <c r="A27" s="5" t="s">
        <v>4279</v>
      </c>
      <c r="B27" s="7">
        <v>226815.5799999999</v>
      </c>
      <c r="I27" s="5" t="s">
        <v>2000</v>
      </c>
      <c r="J27">
        <v>1</v>
      </c>
      <c r="K27" s="7">
        <v>3456.4</v>
      </c>
    </row>
    <row r="28" spans="1:11" x14ac:dyDescent="0.25">
      <c r="A28" s="5" t="s">
        <v>4285</v>
      </c>
      <c r="B28" s="7">
        <v>1264761.96</v>
      </c>
      <c r="F28" s="7"/>
      <c r="G28" s="7"/>
      <c r="H28" s="7"/>
      <c r="I28" s="5" t="s">
        <v>1845</v>
      </c>
      <c r="J28">
        <v>1</v>
      </c>
      <c r="K28" s="7">
        <v>3390.8</v>
      </c>
    </row>
    <row r="29" spans="1:11" x14ac:dyDescent="0.25">
      <c r="I29" s="5" t="s">
        <v>4285</v>
      </c>
      <c r="J29">
        <v>7</v>
      </c>
      <c r="K29" s="7">
        <v>22679.279999999999</v>
      </c>
    </row>
    <row r="32" spans="1:11" x14ac:dyDescent="0.25">
      <c r="B32" t="s">
        <v>4290</v>
      </c>
      <c r="D32" s="4" t="s">
        <v>4284</v>
      </c>
      <c r="E32" t="s">
        <v>4289</v>
      </c>
      <c r="F32" t="s">
        <v>4291</v>
      </c>
      <c r="H32" s="4" t="s">
        <v>4284</v>
      </c>
      <c r="I32" t="s">
        <v>4288</v>
      </c>
    </row>
    <row r="33" spans="2:9" x14ac:dyDescent="0.25">
      <c r="B33">
        <v>1200</v>
      </c>
      <c r="D33" s="5" t="s">
        <v>1683</v>
      </c>
      <c r="E33">
        <v>1</v>
      </c>
      <c r="F33" s="7">
        <v>3384.9</v>
      </c>
      <c r="G33" s="7"/>
      <c r="H33" s="5" t="s">
        <v>4294</v>
      </c>
      <c r="I33" s="7">
        <v>552643.23999999976</v>
      </c>
    </row>
    <row r="34" spans="2:9" x14ac:dyDescent="0.25">
      <c r="D34" s="5" t="s">
        <v>1321</v>
      </c>
      <c r="E34">
        <v>1</v>
      </c>
      <c r="F34" s="7">
        <v>3353.75</v>
      </c>
      <c r="G34" s="7"/>
      <c r="H34" s="5" t="s">
        <v>4293</v>
      </c>
      <c r="I34" s="7">
        <v>480235.87000000034</v>
      </c>
    </row>
    <row r="35" spans="2:9" x14ac:dyDescent="0.25">
      <c r="B35">
        <f>COUNTA(Sheet1!C2:C1201)</f>
        <v>1200</v>
      </c>
      <c r="D35" s="5" t="s">
        <v>1542</v>
      </c>
      <c r="E35">
        <v>1</v>
      </c>
      <c r="F35" s="7">
        <v>3370.2</v>
      </c>
      <c r="G35" s="7"/>
      <c r="H35" s="5" t="s">
        <v>4295</v>
      </c>
      <c r="I35" s="7">
        <v>231882.85000000006</v>
      </c>
    </row>
    <row r="36" spans="2:9" x14ac:dyDescent="0.25">
      <c r="D36" s="5" t="s">
        <v>1677</v>
      </c>
      <c r="E36">
        <v>1</v>
      </c>
      <c r="F36" s="7">
        <v>3313.9</v>
      </c>
      <c r="G36" s="7"/>
      <c r="H36" s="5" t="s">
        <v>4285</v>
      </c>
      <c r="I36" s="7">
        <v>1264761.9600000002</v>
      </c>
    </row>
    <row r="37" spans="2:9" x14ac:dyDescent="0.25">
      <c r="B37">
        <f>COUNTA(Sheet1!A2:A1203)</f>
        <v>1200</v>
      </c>
      <c r="D37" s="5" t="s">
        <v>2271</v>
      </c>
      <c r="E37">
        <v>1</v>
      </c>
      <c r="F37" s="7">
        <v>3334</v>
      </c>
      <c r="G37" s="7"/>
    </row>
    <row r="38" spans="2:9" x14ac:dyDescent="0.25">
      <c r="D38" s="5" t="s">
        <v>1575</v>
      </c>
      <c r="E38">
        <v>1</v>
      </c>
      <c r="F38" s="7">
        <v>3299.25</v>
      </c>
      <c r="G38" s="7"/>
    </row>
    <row r="39" spans="2:9" x14ac:dyDescent="0.25">
      <c r="D39" s="5" t="s">
        <v>2000</v>
      </c>
      <c r="E39">
        <v>1</v>
      </c>
      <c r="F39" s="7">
        <v>3456.4</v>
      </c>
      <c r="G39" s="7"/>
    </row>
    <row r="40" spans="2:9" x14ac:dyDescent="0.25">
      <c r="D40" s="5" t="s">
        <v>2237</v>
      </c>
      <c r="E40">
        <v>1</v>
      </c>
      <c r="F40" s="7">
        <v>3322.55</v>
      </c>
      <c r="G40" s="7"/>
    </row>
    <row r="41" spans="2:9" x14ac:dyDescent="0.25">
      <c r="D41" s="5" t="s">
        <v>1540</v>
      </c>
      <c r="E41">
        <v>1</v>
      </c>
      <c r="F41" s="7">
        <v>3352.4</v>
      </c>
      <c r="G41" s="7"/>
    </row>
    <row r="42" spans="2:9" x14ac:dyDescent="0.25">
      <c r="D42" s="5" t="s">
        <v>1845</v>
      </c>
      <c r="E42">
        <v>1</v>
      </c>
      <c r="F42" s="7">
        <v>3390.8</v>
      </c>
      <c r="G42" s="7"/>
    </row>
    <row r="43" spans="2:9" x14ac:dyDescent="0.25">
      <c r="D43" s="5" t="s">
        <v>4285</v>
      </c>
      <c r="E43">
        <v>10</v>
      </c>
      <c r="F43" s="7">
        <v>3357.8150000000001</v>
      </c>
      <c r="G43" s="7"/>
    </row>
    <row r="85" spans="6:8" x14ac:dyDescent="0.25">
      <c r="F85" s="4" t="s">
        <v>4284</v>
      </c>
      <c r="G85" t="s">
        <v>4283</v>
      </c>
      <c r="H85" t="s">
        <v>4288</v>
      </c>
    </row>
    <row r="86" spans="6:8" x14ac:dyDescent="0.25">
      <c r="F86" s="5" t="s">
        <v>2406</v>
      </c>
      <c r="G86">
        <v>562</v>
      </c>
      <c r="H86" s="7">
        <v>195620.11000000002</v>
      </c>
    </row>
    <row r="87" spans="6:8" x14ac:dyDescent="0.25">
      <c r="F87" s="5" t="s">
        <v>2409</v>
      </c>
      <c r="G87">
        <v>508</v>
      </c>
      <c r="H87" s="7">
        <v>167459.93</v>
      </c>
    </row>
    <row r="88" spans="6:8" x14ac:dyDescent="0.25">
      <c r="F88" s="5" t="s">
        <v>2408</v>
      </c>
      <c r="G88">
        <v>535</v>
      </c>
      <c r="H88" s="7">
        <v>192126.55999999994</v>
      </c>
    </row>
    <row r="89" spans="6:8" x14ac:dyDescent="0.25">
      <c r="F89" s="5" t="s">
        <v>2403</v>
      </c>
      <c r="G89">
        <v>480</v>
      </c>
      <c r="H89" s="7">
        <v>175651.40999999997</v>
      </c>
    </row>
    <row r="90" spans="6:8" x14ac:dyDescent="0.25">
      <c r="F90" s="5" t="s">
        <v>2404</v>
      </c>
      <c r="G90">
        <v>411</v>
      </c>
      <c r="H90" s="7">
        <v>151722.39000000001</v>
      </c>
    </row>
    <row r="91" spans="6:8" x14ac:dyDescent="0.25">
      <c r="F91" s="5" t="s">
        <v>2407</v>
      </c>
      <c r="G91">
        <v>542</v>
      </c>
      <c r="H91" s="7">
        <v>195612.60999999996</v>
      </c>
    </row>
    <row r="92" spans="6:8" x14ac:dyDescent="0.25">
      <c r="F92" s="5" t="s">
        <v>2405</v>
      </c>
      <c r="G92">
        <v>497</v>
      </c>
      <c r="H92" s="7">
        <v>186568.95000000007</v>
      </c>
    </row>
    <row r="93" spans="6:8" x14ac:dyDescent="0.25">
      <c r="F93" s="5" t="s">
        <v>4285</v>
      </c>
      <c r="G93">
        <v>3535</v>
      </c>
      <c r="H93" s="7">
        <v>1264761.96</v>
      </c>
    </row>
    <row r="100" spans="1:3" x14ac:dyDescent="0.25">
      <c r="A100" t="s">
        <v>4296</v>
      </c>
      <c r="B100">
        <f>GETPIVOTDATA("Sum of TotalPrice",$F$85)/GETPIVOTDATA("Total Orders",$D$3)</f>
        <v>1053.9683</v>
      </c>
    </row>
    <row r="101" spans="1:3" x14ac:dyDescent="0.25">
      <c r="A101" t="s">
        <v>4297</v>
      </c>
      <c r="B101" t="e">
        <f>GETPIVOTDATA("Count of Order Status",$C$13,"OrderStatus","Cancelled")/GETPIVOTDATA("Count of Order Status",$C$13)</f>
        <v>#REF!</v>
      </c>
    </row>
    <row r="102" spans="1:3" x14ac:dyDescent="0.25">
      <c r="A102" t="s">
        <v>4298</v>
      </c>
      <c r="B102" t="e">
        <f>GETPIVOTDATA("Count of Order Status",$C$13,"OrderStatus","Returned")/GETPIVOTDATA("Count of Order Status",$C$13)</f>
        <v>#REF!</v>
      </c>
    </row>
    <row r="103" spans="1:3" x14ac:dyDescent="0.25">
      <c r="A103" t="s">
        <v>4299</v>
      </c>
      <c r="B103" s="8">
        <v>5723.23</v>
      </c>
      <c r="C103">
        <v>2</v>
      </c>
    </row>
  </sheetData>
  <conditionalFormatting pivot="1" sqref="J4:K10">
    <cfRule type="dataBar" priority="9">
      <dataBar>
        <cfvo type="min"/>
        <cfvo type="max"/>
        <color rgb="FF63C384"/>
      </dataBar>
      <extLst>
        <ext xmlns:x14="http://schemas.microsoft.com/office/spreadsheetml/2009/9/main" uri="{B025F937-C7B1-47D3-B67F-A62EFF666E3E}">
          <x14:id>{0A9B1198-BF16-4694-9CFF-6FB9835B75AD}</x14:id>
        </ext>
      </extLst>
    </cfRule>
  </conditionalFormatting>
  <conditionalFormatting pivot="1" sqref="J14:J18">
    <cfRule type="dataBar" priority="8">
      <dataBar>
        <cfvo type="min"/>
        <cfvo type="max"/>
        <color rgb="FF63C384"/>
      </dataBar>
      <extLst>
        <ext xmlns:x14="http://schemas.microsoft.com/office/spreadsheetml/2009/9/main" uri="{B025F937-C7B1-47D3-B67F-A62EFF666E3E}">
          <x14:id>{D8DE2839-F01C-4C81-A6AA-878EEB623825}</x14:id>
        </ext>
      </extLst>
    </cfRule>
  </conditionalFormatting>
  <conditionalFormatting pivot="1" sqref="K4:K10">
    <cfRule type="dataBar" priority="7">
      <dataBar>
        <cfvo type="min"/>
        <cfvo type="max"/>
        <color rgb="FF63C384"/>
      </dataBar>
      <extLst>
        <ext xmlns:x14="http://schemas.microsoft.com/office/spreadsheetml/2009/9/main" uri="{B025F937-C7B1-47D3-B67F-A62EFF666E3E}">
          <x14:id>{9967E4E3-CECC-45CF-A5CF-F61E586A9AAA}</x14:id>
        </ext>
      </extLst>
    </cfRule>
  </conditionalFormatting>
  <conditionalFormatting pivot="1" sqref="K23:K28">
    <cfRule type="dataBar" priority="6">
      <dataBar>
        <cfvo type="min"/>
        <cfvo type="max"/>
        <color rgb="FF63C384"/>
      </dataBar>
      <extLst>
        <ext xmlns:x14="http://schemas.microsoft.com/office/spreadsheetml/2009/9/main" uri="{B025F937-C7B1-47D3-B67F-A62EFF666E3E}">
          <x14:id>{68E46381-56A9-420A-9DC1-FD8AFD9B3A75}</x14:id>
        </ext>
      </extLst>
    </cfRule>
  </conditionalFormatting>
  <conditionalFormatting pivot="1" sqref="F33:F35 F39 F42">
    <cfRule type="dataBar" priority="5">
      <dataBar>
        <cfvo type="min"/>
        <cfvo type="max"/>
        <color rgb="FF63C384"/>
      </dataBar>
      <extLst>
        <ext xmlns:x14="http://schemas.microsoft.com/office/spreadsheetml/2009/9/main" uri="{B025F937-C7B1-47D3-B67F-A62EFF666E3E}">
          <x14:id>{6FDE6373-5C8A-49E9-B0A6-F875B7353BCC}</x14:id>
        </ext>
      </extLst>
    </cfRule>
  </conditionalFormatting>
  <conditionalFormatting pivot="1" sqref="G86:H92">
    <cfRule type="dataBar" priority="3">
      <dataBar>
        <cfvo type="min"/>
        <cfvo type="max"/>
        <color rgb="FF63C384"/>
      </dataBar>
      <extLst>
        <ext xmlns:x14="http://schemas.microsoft.com/office/spreadsheetml/2009/9/main" uri="{B025F937-C7B1-47D3-B67F-A62EFF666E3E}">
          <x14:id>{0D8F76A7-D3E9-4D76-B33F-8948303A365E}</x14:id>
        </ext>
      </extLst>
    </cfRule>
  </conditionalFormatting>
  <conditionalFormatting pivot="1" sqref="H86:H92">
    <cfRule type="dataBar" priority="2">
      <dataBar>
        <cfvo type="min"/>
        <cfvo type="max"/>
        <color rgb="FF63C384"/>
      </dataBar>
      <extLst>
        <ext xmlns:x14="http://schemas.microsoft.com/office/spreadsheetml/2009/9/main" uri="{B025F937-C7B1-47D3-B67F-A62EFF666E3E}">
          <x14:id>{47912DAB-206C-456A-9126-483A90C50F9B}</x14:id>
        </ext>
      </extLst>
    </cfRule>
  </conditionalFormatting>
  <pageMargins left="0.7" right="0.7" top="0.75" bottom="0.75" header="0.3" footer="0.3"/>
  <pageSetup orientation="portrait" r:id="rId13"/>
  <drawing r:id="rId14"/>
  <extLst>
    <ext xmlns:x14="http://schemas.microsoft.com/office/spreadsheetml/2009/9/main" uri="{78C0D931-6437-407d-A8EE-F0AAD7539E65}">
      <x14:conditionalFormattings>
        <x14:conditionalFormatting xmlns:xm="http://schemas.microsoft.com/office/excel/2006/main" pivot="1">
          <x14:cfRule type="dataBar" id="{0A9B1198-BF16-4694-9CFF-6FB9835B75AD}">
            <x14:dataBar minLength="0" maxLength="100" border="1" negativeBarBorderColorSameAsPositive="0">
              <x14:cfvo type="autoMin"/>
              <x14:cfvo type="autoMax"/>
              <x14:borderColor rgb="FF63C384"/>
              <x14:negativeFillColor rgb="FFFF0000"/>
              <x14:negativeBorderColor rgb="FFFF0000"/>
              <x14:axisColor rgb="FF000000"/>
            </x14:dataBar>
          </x14:cfRule>
          <xm:sqref>J4:K10</xm:sqref>
        </x14:conditionalFormatting>
        <x14:conditionalFormatting xmlns:xm="http://schemas.microsoft.com/office/excel/2006/main" pivot="1">
          <x14:cfRule type="dataBar" id="{D8DE2839-F01C-4C81-A6AA-878EEB623825}">
            <x14:dataBar minLength="0" maxLength="100" gradient="0">
              <x14:cfvo type="autoMin"/>
              <x14:cfvo type="autoMax"/>
              <x14:negativeFillColor rgb="FFFF0000"/>
              <x14:axisColor rgb="FF000000"/>
            </x14:dataBar>
          </x14:cfRule>
          <xm:sqref>J14:J18</xm:sqref>
        </x14:conditionalFormatting>
        <x14:conditionalFormatting xmlns:xm="http://schemas.microsoft.com/office/excel/2006/main" pivot="1">
          <x14:cfRule type="dataBar" id="{9967E4E3-CECC-45CF-A5CF-F61E586A9AAA}">
            <x14:dataBar minLength="0" maxLength="100" gradient="0">
              <x14:cfvo type="autoMin"/>
              <x14:cfvo type="autoMax"/>
              <x14:negativeFillColor rgb="FFFF0000"/>
              <x14:axisColor rgb="FF000000"/>
            </x14:dataBar>
          </x14:cfRule>
          <xm:sqref>K4:K10</xm:sqref>
        </x14:conditionalFormatting>
        <x14:conditionalFormatting xmlns:xm="http://schemas.microsoft.com/office/excel/2006/main" pivot="1">
          <x14:cfRule type="dataBar" id="{68E46381-56A9-420A-9DC1-FD8AFD9B3A75}">
            <x14:dataBar minLength="0" maxLength="100" gradient="0">
              <x14:cfvo type="autoMin"/>
              <x14:cfvo type="autoMax"/>
              <x14:negativeFillColor rgb="FFFF0000"/>
              <x14:axisColor rgb="FF000000"/>
            </x14:dataBar>
          </x14:cfRule>
          <xm:sqref>K23:K28</xm:sqref>
        </x14:conditionalFormatting>
        <x14:conditionalFormatting xmlns:xm="http://schemas.microsoft.com/office/excel/2006/main" pivot="1">
          <x14:cfRule type="dataBar" id="{6FDE6373-5C8A-49E9-B0A6-F875B7353BCC}">
            <x14:dataBar minLength="0" maxLength="100" gradient="0">
              <x14:cfvo type="autoMin"/>
              <x14:cfvo type="autoMax"/>
              <x14:negativeFillColor rgb="FFFF0000"/>
              <x14:axisColor rgb="FF000000"/>
            </x14:dataBar>
          </x14:cfRule>
          <xm:sqref>F33:F35 F39 F42</xm:sqref>
        </x14:conditionalFormatting>
        <x14:conditionalFormatting xmlns:xm="http://schemas.microsoft.com/office/excel/2006/main" pivot="1">
          <x14:cfRule type="dataBar" id="{0D8F76A7-D3E9-4D76-B33F-8948303A365E}">
            <x14:dataBar minLength="0" maxLength="100" border="1" negativeBarBorderColorSameAsPositive="0">
              <x14:cfvo type="autoMin"/>
              <x14:cfvo type="autoMax"/>
              <x14:borderColor rgb="FF63C384"/>
              <x14:negativeFillColor rgb="FFFF0000"/>
              <x14:negativeBorderColor rgb="FFFF0000"/>
              <x14:axisColor rgb="FF000000"/>
            </x14:dataBar>
          </x14:cfRule>
          <xm:sqref>G86:H92</xm:sqref>
        </x14:conditionalFormatting>
        <x14:conditionalFormatting xmlns:xm="http://schemas.microsoft.com/office/excel/2006/main" pivot="1">
          <x14:cfRule type="dataBar" id="{47912DAB-206C-456A-9126-483A90C50F9B}">
            <x14:dataBar minLength="0" maxLength="100" gradient="0">
              <x14:cfvo type="autoMin"/>
              <x14:cfvo type="autoMax"/>
              <x14:negativeFillColor rgb="FFFF0000"/>
              <x14:axisColor rgb="FF000000"/>
            </x14:dataBar>
          </x14:cfRule>
          <xm:sqref>H86:H92</xm:sqref>
        </x14:conditionalFormatting>
      </x14:conditionalFormattings>
    </ex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99EB-AC50-47EC-BEA6-37FBC97D0817}">
  <dimension ref="A1"/>
  <sheetViews>
    <sheetView topLeftCell="A2" workbookViewId="0">
      <selection activeCell="N25" sqref="N2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9AFC-A70F-46D6-8069-11F4FCA53EE4}">
  <dimension ref="A1"/>
  <sheetViews>
    <sheetView showGridLines="0" topLeftCell="C1" zoomScale="80" zoomScaleNormal="80" workbookViewId="0">
      <selection activeCell="Y7" sqref="Y7"/>
    </sheetView>
  </sheetViews>
  <sheetFormatPr defaultRowHeight="15" x14ac:dyDescent="0.25"/>
  <cols>
    <col min="5" max="5" width="10"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5BDB7-D261-4F95-810C-C25FCFAE1ADA}">
  <dimension ref="A1:N1201"/>
  <sheetViews>
    <sheetView topLeftCell="A2" workbookViewId="0"/>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3">
        <v>44930</v>
      </c>
      <c r="C2" t="s">
        <v>1214</v>
      </c>
      <c r="D2" t="s">
        <v>2403</v>
      </c>
      <c r="E2">
        <v>5</v>
      </c>
      <c r="F2">
        <v>570.62</v>
      </c>
      <c r="G2" t="s">
        <v>2410</v>
      </c>
      <c r="H2" t="s">
        <v>3065</v>
      </c>
      <c r="I2" t="s">
        <v>3070</v>
      </c>
      <c r="J2" t="s">
        <v>3075</v>
      </c>
      <c r="K2">
        <v>7</v>
      </c>
      <c r="L2" t="s">
        <v>4275</v>
      </c>
      <c r="M2" t="s">
        <v>4278</v>
      </c>
      <c r="N2">
        <v>2853.1</v>
      </c>
    </row>
    <row r="3" spans="1:14" x14ac:dyDescent="0.25">
      <c r="A3" t="s">
        <v>15</v>
      </c>
      <c r="B3" s="3">
        <v>45527</v>
      </c>
      <c r="C3" t="s">
        <v>1215</v>
      </c>
      <c r="D3" t="s">
        <v>2404</v>
      </c>
      <c r="E3">
        <v>2</v>
      </c>
      <c r="F3">
        <v>151.35</v>
      </c>
      <c r="G3" t="s">
        <v>2411</v>
      </c>
      <c r="H3" t="s">
        <v>3066</v>
      </c>
      <c r="I3" t="s">
        <v>3070</v>
      </c>
      <c r="J3" t="s">
        <v>3076</v>
      </c>
      <c r="K3">
        <v>3</v>
      </c>
      <c r="L3" t="s">
        <v>4275</v>
      </c>
      <c r="M3" t="s">
        <v>4279</v>
      </c>
      <c r="N3">
        <v>302.7</v>
      </c>
    </row>
    <row r="4" spans="1:14" x14ac:dyDescent="0.25">
      <c r="A4" t="s">
        <v>16</v>
      </c>
      <c r="B4" s="3">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3">
        <v>45214</v>
      </c>
      <c r="C5" t="s">
        <v>1217</v>
      </c>
      <c r="D5" t="s">
        <v>2406</v>
      </c>
      <c r="E5">
        <v>1</v>
      </c>
      <c r="F5">
        <v>273.19</v>
      </c>
      <c r="G5" t="s">
        <v>2413</v>
      </c>
      <c r="H5" t="s">
        <v>3065</v>
      </c>
      <c r="I5" t="s">
        <v>3072</v>
      </c>
      <c r="J5" t="s">
        <v>3078</v>
      </c>
      <c r="K5">
        <v>5</v>
      </c>
      <c r="L5" t="s">
        <v>4275</v>
      </c>
      <c r="M5" t="s">
        <v>4281</v>
      </c>
      <c r="N5">
        <v>273.19</v>
      </c>
    </row>
    <row r="6" spans="1:14" x14ac:dyDescent="0.25">
      <c r="A6" t="s">
        <v>18</v>
      </c>
      <c r="B6" s="3">
        <v>45785</v>
      </c>
      <c r="C6" t="s">
        <v>1218</v>
      </c>
      <c r="D6" t="s">
        <v>2407</v>
      </c>
      <c r="E6">
        <v>4</v>
      </c>
      <c r="F6">
        <v>626.01</v>
      </c>
      <c r="G6" t="s">
        <v>2414</v>
      </c>
      <c r="H6" t="s">
        <v>3066</v>
      </c>
      <c r="I6" t="s">
        <v>3073</v>
      </c>
      <c r="J6" t="s">
        <v>3079</v>
      </c>
      <c r="K6">
        <v>8</v>
      </c>
      <c r="L6" t="s">
        <v>4275</v>
      </c>
      <c r="M6" t="s">
        <v>4280</v>
      </c>
      <c r="N6">
        <v>2504.04</v>
      </c>
    </row>
    <row r="7" spans="1:14" x14ac:dyDescent="0.25">
      <c r="A7" t="s">
        <v>19</v>
      </c>
      <c r="B7" s="3">
        <v>45222</v>
      </c>
      <c r="C7" t="s">
        <v>1219</v>
      </c>
      <c r="D7" t="s">
        <v>2404</v>
      </c>
      <c r="E7">
        <v>2</v>
      </c>
      <c r="F7">
        <v>245.86</v>
      </c>
      <c r="G7" t="s">
        <v>2415</v>
      </c>
      <c r="H7" t="s">
        <v>3067</v>
      </c>
      <c r="I7" t="s">
        <v>3070</v>
      </c>
      <c r="J7" t="s">
        <v>3080</v>
      </c>
      <c r="K7">
        <v>4</v>
      </c>
      <c r="L7" t="s">
        <v>4275</v>
      </c>
      <c r="M7" t="s">
        <v>4278</v>
      </c>
      <c r="N7">
        <v>491.72</v>
      </c>
    </row>
    <row r="8" spans="1:14" x14ac:dyDescent="0.25">
      <c r="A8" t="s">
        <v>20</v>
      </c>
      <c r="B8" s="3">
        <v>45825</v>
      </c>
      <c r="C8" t="s">
        <v>1220</v>
      </c>
      <c r="D8" t="s">
        <v>2408</v>
      </c>
      <c r="E8">
        <v>1</v>
      </c>
      <c r="F8">
        <v>664.42</v>
      </c>
      <c r="G8" t="s">
        <v>2416</v>
      </c>
      <c r="H8" t="s">
        <v>3068</v>
      </c>
      <c r="I8" t="s">
        <v>3072</v>
      </c>
      <c r="J8" t="s">
        <v>3081</v>
      </c>
      <c r="K8">
        <v>6</v>
      </c>
      <c r="L8" t="s">
        <v>4275</v>
      </c>
      <c r="M8" t="s">
        <v>4281</v>
      </c>
      <c r="N8">
        <v>664.42</v>
      </c>
    </row>
    <row r="9" spans="1:14" x14ac:dyDescent="0.25">
      <c r="A9" t="s">
        <v>21</v>
      </c>
      <c r="B9" s="3">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3">
        <v>45749</v>
      </c>
      <c r="C10" t="s">
        <v>1222</v>
      </c>
      <c r="D10" t="s">
        <v>2404</v>
      </c>
      <c r="E10">
        <v>2</v>
      </c>
      <c r="F10">
        <v>134.28</v>
      </c>
      <c r="G10" t="s">
        <v>2418</v>
      </c>
      <c r="H10" t="s">
        <v>3068</v>
      </c>
      <c r="I10" t="s">
        <v>3071</v>
      </c>
      <c r="J10" t="s">
        <v>3083</v>
      </c>
      <c r="K10">
        <v>2</v>
      </c>
      <c r="M10" t="s">
        <v>4280</v>
      </c>
      <c r="N10">
        <v>268.56</v>
      </c>
    </row>
    <row r="11" spans="1:14" x14ac:dyDescent="0.25">
      <c r="A11" t="s">
        <v>23</v>
      </c>
      <c r="B11" s="3">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3">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3">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3">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3">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3">
        <v>45124</v>
      </c>
      <c r="C17" t="s">
        <v>1229</v>
      </c>
      <c r="D17" t="s">
        <v>2407</v>
      </c>
      <c r="E17">
        <v>1</v>
      </c>
      <c r="F17">
        <v>473.96</v>
      </c>
      <c r="G17" t="s">
        <v>2425</v>
      </c>
      <c r="H17" t="s">
        <v>3069</v>
      </c>
      <c r="I17" t="s">
        <v>3073</v>
      </c>
      <c r="J17" t="s">
        <v>3090</v>
      </c>
      <c r="K17">
        <v>3</v>
      </c>
      <c r="M17" t="s">
        <v>4282</v>
      </c>
      <c r="N17">
        <v>473.96</v>
      </c>
    </row>
    <row r="18" spans="1:14" x14ac:dyDescent="0.25">
      <c r="A18" t="s">
        <v>30</v>
      </c>
      <c r="B18" s="3">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3">
        <v>45353</v>
      </c>
      <c r="C19" t="s">
        <v>1231</v>
      </c>
      <c r="D19" t="s">
        <v>2405</v>
      </c>
      <c r="E19">
        <v>1</v>
      </c>
      <c r="F19">
        <v>423.4</v>
      </c>
      <c r="G19" t="s">
        <v>2427</v>
      </c>
      <c r="H19" t="s">
        <v>3065</v>
      </c>
      <c r="I19" t="s">
        <v>3070</v>
      </c>
      <c r="J19" t="s">
        <v>3092</v>
      </c>
      <c r="K19">
        <v>3</v>
      </c>
      <c r="M19" t="s">
        <v>4279</v>
      </c>
      <c r="N19">
        <v>423.4</v>
      </c>
    </row>
    <row r="20" spans="1:14" x14ac:dyDescent="0.25">
      <c r="A20" t="s">
        <v>32</v>
      </c>
      <c r="B20" s="3">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3">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3">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3">
        <v>45613</v>
      </c>
      <c r="C23" t="s">
        <v>1235</v>
      </c>
      <c r="D23" t="s">
        <v>2403</v>
      </c>
      <c r="E23">
        <v>4</v>
      </c>
      <c r="F23">
        <v>342.95</v>
      </c>
      <c r="G23" t="s">
        <v>2431</v>
      </c>
      <c r="H23" t="s">
        <v>3069</v>
      </c>
      <c r="I23" t="s">
        <v>3073</v>
      </c>
      <c r="J23" t="s">
        <v>3096</v>
      </c>
      <c r="K23">
        <v>6</v>
      </c>
      <c r="M23" t="s">
        <v>4282</v>
      </c>
      <c r="N23">
        <v>1371.8</v>
      </c>
    </row>
    <row r="24" spans="1:14" x14ac:dyDescent="0.25">
      <c r="A24" t="s">
        <v>36</v>
      </c>
      <c r="B24" s="3">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3">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3">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3">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3">
        <v>45357</v>
      </c>
      <c r="C28" t="s">
        <v>1240</v>
      </c>
      <c r="D28" t="s">
        <v>2408</v>
      </c>
      <c r="E28">
        <v>5</v>
      </c>
      <c r="F28">
        <v>59.55</v>
      </c>
      <c r="G28" t="s">
        <v>2436</v>
      </c>
      <c r="H28" t="s">
        <v>3066</v>
      </c>
      <c r="I28" t="s">
        <v>3073</v>
      </c>
      <c r="J28" t="s">
        <v>3101</v>
      </c>
      <c r="K28">
        <v>6</v>
      </c>
      <c r="M28" t="s">
        <v>4279</v>
      </c>
      <c r="N28">
        <v>297.75</v>
      </c>
    </row>
    <row r="29" spans="1:14" x14ac:dyDescent="0.25">
      <c r="A29" t="s">
        <v>41</v>
      </c>
      <c r="B29" s="3">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3">
        <v>45251</v>
      </c>
      <c r="C30" t="s">
        <v>1242</v>
      </c>
      <c r="D30" t="s">
        <v>2404</v>
      </c>
      <c r="E30">
        <v>4</v>
      </c>
      <c r="F30">
        <v>160.07</v>
      </c>
      <c r="G30" t="s">
        <v>2438</v>
      </c>
      <c r="H30" t="s">
        <v>3066</v>
      </c>
      <c r="I30" t="s">
        <v>3074</v>
      </c>
      <c r="J30" t="s">
        <v>3103</v>
      </c>
      <c r="K30">
        <v>5</v>
      </c>
      <c r="M30" t="s">
        <v>4280</v>
      </c>
      <c r="N30">
        <v>640.28</v>
      </c>
    </row>
    <row r="31" spans="1:14" x14ac:dyDescent="0.25">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3">
        <v>45107</v>
      </c>
      <c r="C33" t="s">
        <v>1245</v>
      </c>
      <c r="D33" t="s">
        <v>2406</v>
      </c>
      <c r="E33">
        <v>3</v>
      </c>
      <c r="F33">
        <v>500.08</v>
      </c>
      <c r="G33" t="s">
        <v>2441</v>
      </c>
      <c r="H33" t="s">
        <v>3065</v>
      </c>
      <c r="I33" t="s">
        <v>3072</v>
      </c>
      <c r="J33" t="s">
        <v>3106</v>
      </c>
      <c r="K33">
        <v>6</v>
      </c>
      <c r="M33" t="s">
        <v>4281</v>
      </c>
      <c r="N33">
        <v>1500.24</v>
      </c>
    </row>
    <row r="34" spans="1:14" x14ac:dyDescent="0.25">
      <c r="A34" t="s">
        <v>46</v>
      </c>
      <c r="B34" s="3">
        <v>45047</v>
      </c>
      <c r="C34" t="s">
        <v>1246</v>
      </c>
      <c r="D34" t="s">
        <v>2405</v>
      </c>
      <c r="E34">
        <v>5</v>
      </c>
      <c r="F34">
        <v>536.72</v>
      </c>
      <c r="G34" t="s">
        <v>2442</v>
      </c>
      <c r="H34" t="s">
        <v>3069</v>
      </c>
      <c r="I34" t="s">
        <v>3073</v>
      </c>
      <c r="J34" t="s">
        <v>3107</v>
      </c>
      <c r="K34">
        <v>10</v>
      </c>
      <c r="M34" t="s">
        <v>4280</v>
      </c>
      <c r="N34">
        <v>2683.6</v>
      </c>
    </row>
    <row r="35" spans="1:14" x14ac:dyDescent="0.25">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3">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3">
        <v>45418</v>
      </c>
      <c r="C44" t="s">
        <v>1256</v>
      </c>
      <c r="D44" t="s">
        <v>2407</v>
      </c>
      <c r="E44">
        <v>2</v>
      </c>
      <c r="F44">
        <v>151.66</v>
      </c>
      <c r="G44" t="s">
        <v>2424</v>
      </c>
      <c r="H44" t="s">
        <v>3069</v>
      </c>
      <c r="I44" t="s">
        <v>3071</v>
      </c>
      <c r="J44" t="s">
        <v>3117</v>
      </c>
      <c r="K44">
        <v>6</v>
      </c>
      <c r="M44" t="s">
        <v>4278</v>
      </c>
      <c r="N44">
        <v>303.32</v>
      </c>
    </row>
    <row r="45" spans="1:14" x14ac:dyDescent="0.25">
      <c r="A45" t="s">
        <v>57</v>
      </c>
      <c r="B45" s="3">
        <v>45274</v>
      </c>
      <c r="C45" t="s">
        <v>1257</v>
      </c>
      <c r="D45" t="s">
        <v>2406</v>
      </c>
      <c r="E45">
        <v>3</v>
      </c>
      <c r="F45">
        <v>499.21</v>
      </c>
      <c r="G45" t="s">
        <v>2452</v>
      </c>
      <c r="H45" t="s">
        <v>3066</v>
      </c>
      <c r="I45" t="s">
        <v>3071</v>
      </c>
      <c r="J45" t="s">
        <v>3118</v>
      </c>
      <c r="K45">
        <v>8</v>
      </c>
      <c r="M45" t="s">
        <v>4278</v>
      </c>
      <c r="N45">
        <v>1497.63</v>
      </c>
    </row>
    <row r="46" spans="1:14" x14ac:dyDescent="0.25">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3">
        <v>45164</v>
      </c>
      <c r="C50" t="s">
        <v>1262</v>
      </c>
      <c r="D50" t="s">
        <v>2403</v>
      </c>
      <c r="E50">
        <v>2</v>
      </c>
      <c r="F50">
        <v>80.77</v>
      </c>
      <c r="G50" t="s">
        <v>2456</v>
      </c>
      <c r="H50" t="s">
        <v>3065</v>
      </c>
      <c r="I50" t="s">
        <v>3070</v>
      </c>
      <c r="J50" t="s">
        <v>3123</v>
      </c>
      <c r="K50">
        <v>4</v>
      </c>
      <c r="M50" t="s">
        <v>4282</v>
      </c>
      <c r="N50">
        <v>161.54</v>
      </c>
    </row>
    <row r="51" spans="1:14" x14ac:dyDescent="0.25">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3">
        <v>45832</v>
      </c>
      <c r="C57" t="s">
        <v>1269</v>
      </c>
      <c r="D57" t="s">
        <v>2407</v>
      </c>
      <c r="E57">
        <v>3</v>
      </c>
      <c r="F57">
        <v>344.4</v>
      </c>
      <c r="G57" t="s">
        <v>2461</v>
      </c>
      <c r="H57" t="s">
        <v>3066</v>
      </c>
      <c r="I57" t="s">
        <v>3071</v>
      </c>
      <c r="J57" t="s">
        <v>3130</v>
      </c>
      <c r="K57">
        <v>3</v>
      </c>
      <c r="M57" t="s">
        <v>4281</v>
      </c>
      <c r="N57">
        <v>1033.2</v>
      </c>
    </row>
    <row r="58" spans="1:14" x14ac:dyDescent="0.25">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3">
        <v>45546</v>
      </c>
      <c r="C61" t="s">
        <v>1273</v>
      </c>
      <c r="D61" t="s">
        <v>2406</v>
      </c>
      <c r="E61">
        <v>4</v>
      </c>
      <c r="F61">
        <v>593.27</v>
      </c>
      <c r="G61" t="s">
        <v>2465</v>
      </c>
      <c r="H61" t="s">
        <v>3066</v>
      </c>
      <c r="I61" t="s">
        <v>3070</v>
      </c>
      <c r="J61" t="s">
        <v>3134</v>
      </c>
      <c r="K61">
        <v>5</v>
      </c>
      <c r="M61" t="s">
        <v>4281</v>
      </c>
      <c r="N61">
        <v>2373.08</v>
      </c>
    </row>
    <row r="62" spans="1:14" x14ac:dyDescent="0.25">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3">
        <v>45290</v>
      </c>
      <c r="C67" t="s">
        <v>1279</v>
      </c>
      <c r="D67" t="s">
        <v>2403</v>
      </c>
      <c r="E67">
        <v>5</v>
      </c>
      <c r="F67">
        <v>81.7</v>
      </c>
      <c r="G67" t="s">
        <v>2471</v>
      </c>
      <c r="H67" t="s">
        <v>3067</v>
      </c>
      <c r="I67" t="s">
        <v>3073</v>
      </c>
      <c r="J67" t="s">
        <v>3140</v>
      </c>
      <c r="K67">
        <v>6</v>
      </c>
      <c r="M67" t="s">
        <v>4278</v>
      </c>
      <c r="N67">
        <v>408.5</v>
      </c>
    </row>
    <row r="68" spans="1:14" x14ac:dyDescent="0.25">
      <c r="A68" t="s">
        <v>80</v>
      </c>
      <c r="B68" s="3">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3">
        <v>45635</v>
      </c>
      <c r="C69" t="s">
        <v>1281</v>
      </c>
      <c r="D69" t="s">
        <v>2407</v>
      </c>
      <c r="E69">
        <v>4</v>
      </c>
      <c r="F69">
        <v>12.1</v>
      </c>
      <c r="G69" t="s">
        <v>2473</v>
      </c>
      <c r="H69" t="s">
        <v>3065</v>
      </c>
      <c r="I69" t="s">
        <v>3071</v>
      </c>
      <c r="J69" t="s">
        <v>3142</v>
      </c>
      <c r="K69">
        <v>8</v>
      </c>
      <c r="M69" t="s">
        <v>4282</v>
      </c>
      <c r="N69">
        <v>48.4</v>
      </c>
    </row>
    <row r="70" spans="1:14" x14ac:dyDescent="0.25">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3">
        <v>45057</v>
      </c>
      <c r="C71" t="s">
        <v>1283</v>
      </c>
      <c r="D71" t="s">
        <v>2403</v>
      </c>
      <c r="E71">
        <v>3</v>
      </c>
      <c r="F71">
        <v>478.65</v>
      </c>
      <c r="G71" t="s">
        <v>2474</v>
      </c>
      <c r="H71" t="s">
        <v>3066</v>
      </c>
      <c r="I71" t="s">
        <v>3070</v>
      </c>
      <c r="J71" t="s">
        <v>3144</v>
      </c>
      <c r="K71">
        <v>4</v>
      </c>
      <c r="M71" t="s">
        <v>4279</v>
      </c>
      <c r="N71">
        <v>1435.95</v>
      </c>
    </row>
    <row r="72" spans="1:14" x14ac:dyDescent="0.25">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3">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3">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3">
        <v>45049</v>
      </c>
      <c r="C75" t="s">
        <v>1287</v>
      </c>
      <c r="D75" t="s">
        <v>2403</v>
      </c>
      <c r="E75">
        <v>4</v>
      </c>
      <c r="F75">
        <v>433.45</v>
      </c>
      <c r="G75" t="s">
        <v>2477</v>
      </c>
      <c r="H75" t="s">
        <v>3068</v>
      </c>
      <c r="I75" t="s">
        <v>3071</v>
      </c>
      <c r="J75" t="s">
        <v>3148</v>
      </c>
      <c r="K75">
        <v>4</v>
      </c>
      <c r="M75" t="s">
        <v>4281</v>
      </c>
      <c r="N75">
        <v>1733.8</v>
      </c>
    </row>
    <row r="76" spans="1:14" x14ac:dyDescent="0.25">
      <c r="A76" t="s">
        <v>88</v>
      </c>
      <c r="B76" s="3">
        <v>45101</v>
      </c>
      <c r="C76" t="s">
        <v>1288</v>
      </c>
      <c r="D76" t="s">
        <v>2404</v>
      </c>
      <c r="E76">
        <v>5</v>
      </c>
      <c r="F76">
        <v>90.87</v>
      </c>
      <c r="G76" t="s">
        <v>2478</v>
      </c>
      <c r="H76" t="s">
        <v>3069</v>
      </c>
      <c r="I76" t="s">
        <v>3074</v>
      </c>
      <c r="J76" t="s">
        <v>3149</v>
      </c>
      <c r="K76">
        <v>5</v>
      </c>
      <c r="M76" t="s">
        <v>4278</v>
      </c>
      <c r="N76">
        <v>454.35</v>
      </c>
    </row>
    <row r="77" spans="1:14" x14ac:dyDescent="0.25">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3">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3">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3">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3">
        <v>45160</v>
      </c>
      <c r="C85" t="s">
        <v>1297</v>
      </c>
      <c r="D85" t="s">
        <v>2408</v>
      </c>
      <c r="E85">
        <v>4</v>
      </c>
      <c r="F85">
        <v>540.41</v>
      </c>
      <c r="G85" t="s">
        <v>2487</v>
      </c>
      <c r="H85" t="s">
        <v>3067</v>
      </c>
      <c r="I85" t="s">
        <v>3071</v>
      </c>
      <c r="J85" t="s">
        <v>3158</v>
      </c>
      <c r="K85">
        <v>6</v>
      </c>
      <c r="M85" t="s">
        <v>4279</v>
      </c>
      <c r="N85">
        <v>2161.64</v>
      </c>
    </row>
    <row r="86" spans="1:14" x14ac:dyDescent="0.25">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3">
        <v>45813</v>
      </c>
      <c r="C90" t="s">
        <v>1302</v>
      </c>
      <c r="D90" t="s">
        <v>2409</v>
      </c>
      <c r="E90">
        <v>3</v>
      </c>
      <c r="F90">
        <v>114.81</v>
      </c>
      <c r="G90" t="s">
        <v>2492</v>
      </c>
      <c r="H90" t="s">
        <v>3068</v>
      </c>
      <c r="I90" t="s">
        <v>3071</v>
      </c>
      <c r="J90" t="s">
        <v>3163</v>
      </c>
      <c r="K90">
        <v>7</v>
      </c>
      <c r="M90" t="s">
        <v>4282</v>
      </c>
      <c r="N90">
        <v>344.43</v>
      </c>
    </row>
    <row r="91" spans="1:14" x14ac:dyDescent="0.25">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3">
        <v>44940</v>
      </c>
      <c r="C95" t="s">
        <v>1307</v>
      </c>
      <c r="D95" t="s">
        <v>2409</v>
      </c>
      <c r="E95">
        <v>4</v>
      </c>
      <c r="F95">
        <v>431.01</v>
      </c>
      <c r="G95" t="s">
        <v>2497</v>
      </c>
      <c r="H95" t="s">
        <v>3067</v>
      </c>
      <c r="I95" t="s">
        <v>3072</v>
      </c>
      <c r="J95" t="s">
        <v>3168</v>
      </c>
      <c r="K95">
        <v>7</v>
      </c>
      <c r="M95" t="s">
        <v>4279</v>
      </c>
      <c r="N95">
        <v>1724.04</v>
      </c>
    </row>
    <row r="96" spans="1:14" x14ac:dyDescent="0.25">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3">
        <v>45009</v>
      </c>
      <c r="C97" t="s">
        <v>1309</v>
      </c>
      <c r="D97" t="s">
        <v>2407</v>
      </c>
      <c r="E97">
        <v>4</v>
      </c>
      <c r="F97">
        <v>117.51</v>
      </c>
      <c r="G97" t="s">
        <v>2499</v>
      </c>
      <c r="H97" t="s">
        <v>3065</v>
      </c>
      <c r="I97" t="s">
        <v>3072</v>
      </c>
      <c r="J97" t="s">
        <v>3170</v>
      </c>
      <c r="K97">
        <v>7</v>
      </c>
      <c r="M97" t="s">
        <v>4279</v>
      </c>
      <c r="N97">
        <v>470.04</v>
      </c>
    </row>
    <row r="98" spans="1:14" x14ac:dyDescent="0.25">
      <c r="A98" t="s">
        <v>110</v>
      </c>
      <c r="B98" s="3">
        <v>45444</v>
      </c>
      <c r="C98" t="s">
        <v>1310</v>
      </c>
      <c r="D98" t="s">
        <v>2404</v>
      </c>
      <c r="E98">
        <v>2</v>
      </c>
      <c r="F98">
        <v>232.83</v>
      </c>
      <c r="G98" t="s">
        <v>2483</v>
      </c>
      <c r="H98" t="s">
        <v>3068</v>
      </c>
      <c r="I98" t="s">
        <v>3073</v>
      </c>
      <c r="J98" t="s">
        <v>3171</v>
      </c>
      <c r="K98">
        <v>7</v>
      </c>
      <c r="M98" t="s">
        <v>4278</v>
      </c>
      <c r="N98">
        <v>465.66</v>
      </c>
    </row>
    <row r="99" spans="1:14" x14ac:dyDescent="0.25">
      <c r="A99" t="s">
        <v>111</v>
      </c>
      <c r="B99" s="3">
        <v>45678</v>
      </c>
      <c r="C99" t="s">
        <v>1311</v>
      </c>
      <c r="D99" t="s">
        <v>2405</v>
      </c>
      <c r="E99">
        <v>5</v>
      </c>
      <c r="F99">
        <v>619.52</v>
      </c>
      <c r="G99" t="s">
        <v>2500</v>
      </c>
      <c r="H99" t="s">
        <v>3065</v>
      </c>
      <c r="I99" t="s">
        <v>3074</v>
      </c>
      <c r="J99" t="s">
        <v>3172</v>
      </c>
      <c r="K99">
        <v>9</v>
      </c>
      <c r="M99" t="s">
        <v>4280</v>
      </c>
      <c r="N99">
        <v>3097.6</v>
      </c>
    </row>
    <row r="100" spans="1:14" x14ac:dyDescent="0.25">
      <c r="A100" t="s">
        <v>112</v>
      </c>
      <c r="B100" s="3">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3">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3">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3">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3">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3">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3">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3">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3">
        <v>44934</v>
      </c>
      <c r="C133" t="s">
        <v>1345</v>
      </c>
      <c r="D133" t="s">
        <v>2405</v>
      </c>
      <c r="E133">
        <v>1</v>
      </c>
      <c r="F133">
        <v>84.8</v>
      </c>
      <c r="G133" t="s">
        <v>2533</v>
      </c>
      <c r="H133" t="s">
        <v>3068</v>
      </c>
      <c r="I133" t="s">
        <v>3074</v>
      </c>
      <c r="J133" t="s">
        <v>3206</v>
      </c>
      <c r="K133">
        <v>5</v>
      </c>
      <c r="M133" t="s">
        <v>4278</v>
      </c>
      <c r="N133">
        <v>84.8</v>
      </c>
    </row>
    <row r="134" spans="1:14" x14ac:dyDescent="0.25">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3">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3">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3">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3">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3">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3">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3">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3">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3">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3">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3">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3">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3">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3">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3">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3">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3">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3">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3">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3">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3">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3">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3">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3">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3">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3">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3">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3">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3">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3">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3">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3">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3">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3">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3">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3">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3">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3">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3">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3">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3">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3">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3">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3">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3">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3">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3">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3">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3">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3">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3">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3">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3">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3">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3">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3">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3">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3">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3">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3">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3">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3">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3">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3">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3">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3">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3">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3">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3">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3">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3">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3">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3">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3">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3">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3">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3">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3">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3">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3">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3">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3">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3">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3">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3">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3">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3">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3">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3">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3">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3">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3">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3">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3">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3">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3">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3">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3">
        <v>45224</v>
      </c>
      <c r="C526" t="s">
        <v>1738</v>
      </c>
      <c r="D526" t="s">
        <v>2404</v>
      </c>
      <c r="E526">
        <v>1</v>
      </c>
      <c r="F526">
        <v>153</v>
      </c>
      <c r="G526" t="s">
        <v>2483</v>
      </c>
      <c r="H526" t="s">
        <v>3067</v>
      </c>
      <c r="I526" t="s">
        <v>3072</v>
      </c>
      <c r="J526" t="s">
        <v>3599</v>
      </c>
      <c r="K526">
        <v>4</v>
      </c>
      <c r="M526" t="s">
        <v>4279</v>
      </c>
      <c r="N526">
        <v>153</v>
      </c>
    </row>
    <row r="527" spans="1:14" x14ac:dyDescent="0.25">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3">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3">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3">
        <v>45780</v>
      </c>
      <c r="C534" t="s">
        <v>1746</v>
      </c>
      <c r="D534" t="s">
        <v>2408</v>
      </c>
      <c r="E534">
        <v>2</v>
      </c>
      <c r="F534">
        <v>41</v>
      </c>
      <c r="G534" t="s">
        <v>2806</v>
      </c>
      <c r="H534" t="s">
        <v>3066</v>
      </c>
      <c r="I534" t="s">
        <v>3073</v>
      </c>
      <c r="J534" t="s">
        <v>3607</v>
      </c>
      <c r="K534">
        <v>7</v>
      </c>
      <c r="M534" t="s">
        <v>4280</v>
      </c>
      <c r="N534">
        <v>82</v>
      </c>
    </row>
    <row r="535" spans="1:14" x14ac:dyDescent="0.25">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3">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3">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3">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3">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3">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3">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3">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3">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3">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3">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3">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3">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3">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3">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3">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3">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3">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3">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3">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3">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3">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3">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3">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3">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3">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3">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3">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3">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3">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3">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3">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3">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3">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3">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3">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3">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3">
        <v>44962</v>
      </c>
      <c r="C671" t="s">
        <v>1881</v>
      </c>
      <c r="D671" t="s">
        <v>2409</v>
      </c>
      <c r="E671">
        <v>1</v>
      </c>
      <c r="F671">
        <v>257</v>
      </c>
      <c r="G671" t="s">
        <v>2867</v>
      </c>
      <c r="H671" t="s">
        <v>3065</v>
      </c>
      <c r="I671" t="s">
        <v>3071</v>
      </c>
      <c r="J671" t="s">
        <v>3744</v>
      </c>
      <c r="K671">
        <v>5</v>
      </c>
      <c r="M671" t="s">
        <v>4279</v>
      </c>
      <c r="N671">
        <v>257</v>
      </c>
    </row>
    <row r="672" spans="1:14" x14ac:dyDescent="0.25">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3">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3">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3">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3">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3">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3">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3">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3">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3">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3">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3">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3">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3">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3">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3">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3">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3">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3">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3">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3">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3">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3">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3">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3">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3">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3">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3">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3">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3">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3">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3">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3">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3">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3">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3">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3">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3">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3">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3">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3">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3">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3">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3">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3">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3">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3">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3">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3">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3">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3">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3">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3">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3">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3">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3">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3">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3">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3">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3">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3">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3">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3">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3">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3">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3">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3">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3">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3">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3">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3">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3">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3">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3">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3">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3">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3">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3">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3">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3">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3">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3">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3">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3">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3">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3">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3">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3">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3">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3">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3">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3">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3">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3">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3">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3">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3">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3">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3">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3">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3">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3">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3">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3">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3">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3">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3">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3">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3">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3">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3">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3">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3">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3">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3">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3">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3">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3">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3">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3">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3">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3">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3">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3">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3">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3">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3">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3">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3">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3">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3">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3">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3">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C2" sqref="C2:C1201"/>
    </sheetView>
  </sheetViews>
  <sheetFormatPr defaultRowHeight="15" x14ac:dyDescent="0.25"/>
  <cols>
    <col min="2" max="2" width="10.42578125" bestFit="1" customWidth="1"/>
    <col min="3" max="3" width="11.4257812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4" max="14" width="1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s="8">
        <v>2853.1</v>
      </c>
    </row>
    <row r="3" spans="1:14" x14ac:dyDescent="0.25">
      <c r="A3" t="s">
        <v>15</v>
      </c>
      <c r="B3" s="2">
        <v>45527</v>
      </c>
      <c r="C3" t="s">
        <v>1215</v>
      </c>
      <c r="D3" t="s">
        <v>2404</v>
      </c>
      <c r="E3">
        <v>2</v>
      </c>
      <c r="F3">
        <v>151.35</v>
      </c>
      <c r="G3" t="s">
        <v>2411</v>
      </c>
      <c r="H3" t="s">
        <v>3066</v>
      </c>
      <c r="I3" t="s">
        <v>3070</v>
      </c>
      <c r="J3" t="s">
        <v>3076</v>
      </c>
      <c r="K3">
        <v>3</v>
      </c>
      <c r="L3" t="s">
        <v>4275</v>
      </c>
      <c r="M3" t="s">
        <v>4279</v>
      </c>
      <c r="N3" s="8">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s="8">
        <v>2753.4</v>
      </c>
    </row>
    <row r="5" spans="1:14" x14ac:dyDescent="0.25">
      <c r="A5" t="s">
        <v>17</v>
      </c>
      <c r="B5" s="2">
        <v>45214</v>
      </c>
      <c r="C5" t="s">
        <v>1217</v>
      </c>
      <c r="D5" t="s">
        <v>2406</v>
      </c>
      <c r="E5">
        <v>1</v>
      </c>
      <c r="F5">
        <v>273.19</v>
      </c>
      <c r="G5" t="s">
        <v>2413</v>
      </c>
      <c r="H5" t="s">
        <v>3065</v>
      </c>
      <c r="I5" t="s">
        <v>3072</v>
      </c>
      <c r="J5" t="s">
        <v>3078</v>
      </c>
      <c r="K5">
        <v>5</v>
      </c>
      <c r="L5" t="s">
        <v>4275</v>
      </c>
      <c r="M5" t="s">
        <v>4281</v>
      </c>
      <c r="N5" s="8">
        <v>273.19</v>
      </c>
    </row>
    <row r="6" spans="1:14" x14ac:dyDescent="0.25">
      <c r="A6" t="s">
        <v>18</v>
      </c>
      <c r="B6" s="2">
        <v>45785</v>
      </c>
      <c r="C6" t="s">
        <v>1218</v>
      </c>
      <c r="D6" t="s">
        <v>2407</v>
      </c>
      <c r="E6">
        <v>4</v>
      </c>
      <c r="F6">
        <v>626.01</v>
      </c>
      <c r="G6" t="s">
        <v>2414</v>
      </c>
      <c r="H6" t="s">
        <v>3066</v>
      </c>
      <c r="I6" t="s">
        <v>3073</v>
      </c>
      <c r="J6" t="s">
        <v>3079</v>
      </c>
      <c r="K6">
        <v>8</v>
      </c>
      <c r="L6" t="s">
        <v>4275</v>
      </c>
      <c r="M6" t="s">
        <v>4280</v>
      </c>
      <c r="N6" s="8">
        <v>2504.04</v>
      </c>
    </row>
    <row r="7" spans="1:14" x14ac:dyDescent="0.25">
      <c r="A7" t="s">
        <v>19</v>
      </c>
      <c r="B7" s="2">
        <v>45222</v>
      </c>
      <c r="C7" t="s">
        <v>1219</v>
      </c>
      <c r="D7" t="s">
        <v>2404</v>
      </c>
      <c r="E7">
        <v>2</v>
      </c>
      <c r="F7">
        <v>245.86</v>
      </c>
      <c r="G7" t="s">
        <v>2415</v>
      </c>
      <c r="H7" t="s">
        <v>3067</v>
      </c>
      <c r="I7" t="s">
        <v>3070</v>
      </c>
      <c r="J7" t="s">
        <v>3080</v>
      </c>
      <c r="K7">
        <v>4</v>
      </c>
      <c r="L7" t="s">
        <v>4275</v>
      </c>
      <c r="M7" t="s">
        <v>4278</v>
      </c>
      <c r="N7" s="8">
        <v>491.72</v>
      </c>
    </row>
    <row r="8" spans="1:14" x14ac:dyDescent="0.25">
      <c r="A8" t="s">
        <v>20</v>
      </c>
      <c r="B8" s="2">
        <v>45825</v>
      </c>
      <c r="C8" t="s">
        <v>1220</v>
      </c>
      <c r="D8" t="s">
        <v>2408</v>
      </c>
      <c r="E8">
        <v>1</v>
      </c>
      <c r="F8">
        <v>664.42</v>
      </c>
      <c r="G8" t="s">
        <v>2416</v>
      </c>
      <c r="H8" t="s">
        <v>3068</v>
      </c>
      <c r="I8" t="s">
        <v>3072</v>
      </c>
      <c r="J8" t="s">
        <v>3081</v>
      </c>
      <c r="K8">
        <v>6</v>
      </c>
      <c r="L8" t="s">
        <v>4275</v>
      </c>
      <c r="M8" t="s">
        <v>4281</v>
      </c>
      <c r="N8" s="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s="8">
        <v>747.75</v>
      </c>
    </row>
    <row r="10" spans="1:14" x14ac:dyDescent="0.25">
      <c r="A10" t="s">
        <v>22</v>
      </c>
      <c r="B10" s="2">
        <v>45749</v>
      </c>
      <c r="C10" t="s">
        <v>1222</v>
      </c>
      <c r="D10" t="s">
        <v>2404</v>
      </c>
      <c r="E10">
        <v>2</v>
      </c>
      <c r="F10">
        <v>134.28</v>
      </c>
      <c r="G10" t="s">
        <v>2418</v>
      </c>
      <c r="H10" t="s">
        <v>3068</v>
      </c>
      <c r="I10" t="s">
        <v>3071</v>
      </c>
      <c r="J10" t="s">
        <v>3083</v>
      </c>
      <c r="K10">
        <v>2</v>
      </c>
      <c r="M10" t="s">
        <v>4280</v>
      </c>
      <c r="N10" s="8">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s="8">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s="8">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s="8">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s="8">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s="8">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s="8">
        <v>786.66</v>
      </c>
    </row>
    <row r="17" spans="1:14" x14ac:dyDescent="0.25">
      <c r="A17" t="s">
        <v>29</v>
      </c>
      <c r="B17" s="2">
        <v>45124</v>
      </c>
      <c r="C17" t="s">
        <v>1229</v>
      </c>
      <c r="D17" t="s">
        <v>2407</v>
      </c>
      <c r="E17">
        <v>1</v>
      </c>
      <c r="F17">
        <v>473.96</v>
      </c>
      <c r="G17" t="s">
        <v>2425</v>
      </c>
      <c r="H17" t="s">
        <v>3069</v>
      </c>
      <c r="I17" t="s">
        <v>3073</v>
      </c>
      <c r="J17" t="s">
        <v>3090</v>
      </c>
      <c r="K17">
        <v>3</v>
      </c>
      <c r="M17" t="s">
        <v>4282</v>
      </c>
      <c r="N17" s="8">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s="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s="8">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s="8">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s="8">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s="8">
        <v>312.55</v>
      </c>
    </row>
    <row r="23" spans="1:14" x14ac:dyDescent="0.25">
      <c r="A23" t="s">
        <v>35</v>
      </c>
      <c r="B23" s="2">
        <v>45613</v>
      </c>
      <c r="C23" t="s">
        <v>1235</v>
      </c>
      <c r="D23" t="s">
        <v>2403</v>
      </c>
      <c r="E23">
        <v>4</v>
      </c>
      <c r="F23">
        <v>342.95</v>
      </c>
      <c r="G23" t="s">
        <v>2431</v>
      </c>
      <c r="H23" t="s">
        <v>3069</v>
      </c>
      <c r="I23" t="s">
        <v>3073</v>
      </c>
      <c r="J23" t="s">
        <v>3096</v>
      </c>
      <c r="K23">
        <v>6</v>
      </c>
      <c r="M23" t="s">
        <v>4282</v>
      </c>
      <c r="N23" s="8">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s="8">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s="8">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s="8">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s="8">
        <v>399.98</v>
      </c>
    </row>
    <row r="28" spans="1:14" x14ac:dyDescent="0.25">
      <c r="A28" t="s">
        <v>40</v>
      </c>
      <c r="B28" s="2">
        <v>45357</v>
      </c>
      <c r="C28" t="s">
        <v>1240</v>
      </c>
      <c r="D28" t="s">
        <v>2408</v>
      </c>
      <c r="E28">
        <v>5</v>
      </c>
      <c r="F28">
        <v>59.55</v>
      </c>
      <c r="G28" t="s">
        <v>2436</v>
      </c>
      <c r="H28" t="s">
        <v>3066</v>
      </c>
      <c r="I28" t="s">
        <v>3073</v>
      </c>
      <c r="J28" t="s">
        <v>3101</v>
      </c>
      <c r="K28">
        <v>6</v>
      </c>
      <c r="M28" t="s">
        <v>4279</v>
      </c>
      <c r="N28" s="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s="8">
        <v>472.74</v>
      </c>
    </row>
    <row r="30" spans="1:14" x14ac:dyDescent="0.25">
      <c r="A30" t="s">
        <v>42</v>
      </c>
      <c r="B30" s="2">
        <v>45251</v>
      </c>
      <c r="C30" t="s">
        <v>1242</v>
      </c>
      <c r="D30" t="s">
        <v>2404</v>
      </c>
      <c r="E30">
        <v>4</v>
      </c>
      <c r="F30">
        <v>160.07</v>
      </c>
      <c r="G30" t="s">
        <v>2438</v>
      </c>
      <c r="H30" t="s">
        <v>3066</v>
      </c>
      <c r="I30" t="s">
        <v>3074</v>
      </c>
      <c r="J30" t="s">
        <v>3103</v>
      </c>
      <c r="K30">
        <v>5</v>
      </c>
      <c r="M30" t="s">
        <v>4280</v>
      </c>
      <c r="N30" s="8">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s="8">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s="8">
        <v>853.4</v>
      </c>
    </row>
    <row r="33" spans="1:14" x14ac:dyDescent="0.25">
      <c r="A33" t="s">
        <v>45</v>
      </c>
      <c r="B33" s="2">
        <v>45107</v>
      </c>
      <c r="C33" t="s">
        <v>1245</v>
      </c>
      <c r="D33" t="s">
        <v>2406</v>
      </c>
      <c r="E33">
        <v>3</v>
      </c>
      <c r="F33">
        <v>500.08</v>
      </c>
      <c r="G33" t="s">
        <v>2441</v>
      </c>
      <c r="H33" t="s">
        <v>3065</v>
      </c>
      <c r="I33" t="s">
        <v>3072</v>
      </c>
      <c r="J33" t="s">
        <v>3106</v>
      </c>
      <c r="K33">
        <v>6</v>
      </c>
      <c r="M33" t="s">
        <v>4281</v>
      </c>
      <c r="N33" s="8">
        <v>1500.24</v>
      </c>
    </row>
    <row r="34" spans="1:14" x14ac:dyDescent="0.25">
      <c r="A34" t="s">
        <v>46</v>
      </c>
      <c r="B34" s="2">
        <v>45047</v>
      </c>
      <c r="C34" t="s">
        <v>1246</v>
      </c>
      <c r="D34" t="s">
        <v>2405</v>
      </c>
      <c r="E34">
        <v>5</v>
      </c>
      <c r="F34">
        <v>536.72</v>
      </c>
      <c r="G34" t="s">
        <v>2442</v>
      </c>
      <c r="H34" t="s">
        <v>3069</v>
      </c>
      <c r="I34" t="s">
        <v>3073</v>
      </c>
      <c r="J34" t="s">
        <v>3107</v>
      </c>
      <c r="K34">
        <v>10</v>
      </c>
      <c r="M34" t="s">
        <v>4280</v>
      </c>
      <c r="N34" s="8">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s="8">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s="8">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s="8">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s="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s="8">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s="8">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s="8">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s="8">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s="8">
        <v>1834.35</v>
      </c>
    </row>
    <row r="44" spans="1:14" x14ac:dyDescent="0.25">
      <c r="A44" t="s">
        <v>56</v>
      </c>
      <c r="B44" s="2">
        <v>45418</v>
      </c>
      <c r="C44" t="s">
        <v>1256</v>
      </c>
      <c r="D44" t="s">
        <v>2407</v>
      </c>
      <c r="E44">
        <v>2</v>
      </c>
      <c r="F44">
        <v>151.66</v>
      </c>
      <c r="G44" t="s">
        <v>2424</v>
      </c>
      <c r="H44" t="s">
        <v>3069</v>
      </c>
      <c r="I44" t="s">
        <v>3071</v>
      </c>
      <c r="J44" t="s">
        <v>3117</v>
      </c>
      <c r="K44">
        <v>6</v>
      </c>
      <c r="M44" t="s">
        <v>4278</v>
      </c>
      <c r="N44" s="8">
        <v>303.32</v>
      </c>
    </row>
    <row r="45" spans="1:14" x14ac:dyDescent="0.25">
      <c r="A45" t="s">
        <v>57</v>
      </c>
      <c r="B45" s="2">
        <v>45274</v>
      </c>
      <c r="C45" t="s">
        <v>1257</v>
      </c>
      <c r="D45" t="s">
        <v>2406</v>
      </c>
      <c r="E45">
        <v>3</v>
      </c>
      <c r="F45">
        <v>499.21</v>
      </c>
      <c r="G45" t="s">
        <v>2452</v>
      </c>
      <c r="H45" t="s">
        <v>3066</v>
      </c>
      <c r="I45" t="s">
        <v>3071</v>
      </c>
      <c r="J45" t="s">
        <v>3118</v>
      </c>
      <c r="K45">
        <v>8</v>
      </c>
      <c r="M45" t="s">
        <v>4278</v>
      </c>
      <c r="N45" s="8">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s="8">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s="8">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s="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s="8">
        <v>419.88</v>
      </c>
    </row>
    <row r="50" spans="1:14" x14ac:dyDescent="0.25">
      <c r="A50" t="s">
        <v>62</v>
      </c>
      <c r="B50" s="2">
        <v>45164</v>
      </c>
      <c r="C50" t="s">
        <v>1262</v>
      </c>
      <c r="D50" t="s">
        <v>2403</v>
      </c>
      <c r="E50">
        <v>2</v>
      </c>
      <c r="F50">
        <v>80.77</v>
      </c>
      <c r="G50" t="s">
        <v>2456</v>
      </c>
      <c r="H50" t="s">
        <v>3065</v>
      </c>
      <c r="I50" t="s">
        <v>3070</v>
      </c>
      <c r="J50" t="s">
        <v>3123</v>
      </c>
      <c r="K50">
        <v>4</v>
      </c>
      <c r="M50" t="s">
        <v>4282</v>
      </c>
      <c r="N50" s="8">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s="8">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s="8">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s="8">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s="8">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s="8">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s="8">
        <v>280.25</v>
      </c>
    </row>
    <row r="57" spans="1:14" x14ac:dyDescent="0.25">
      <c r="A57" t="s">
        <v>69</v>
      </c>
      <c r="B57" s="2">
        <v>45832</v>
      </c>
      <c r="C57" t="s">
        <v>1269</v>
      </c>
      <c r="D57" t="s">
        <v>2407</v>
      </c>
      <c r="E57">
        <v>3</v>
      </c>
      <c r="F57">
        <v>344.4</v>
      </c>
      <c r="G57" t="s">
        <v>2461</v>
      </c>
      <c r="H57" t="s">
        <v>3066</v>
      </c>
      <c r="I57" t="s">
        <v>3071</v>
      </c>
      <c r="J57" t="s">
        <v>3130</v>
      </c>
      <c r="K57">
        <v>3</v>
      </c>
      <c r="M57" t="s">
        <v>4281</v>
      </c>
      <c r="N57" s="8">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s="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s="8">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s="8">
        <v>1898.76</v>
      </c>
    </row>
    <row r="61" spans="1:14" x14ac:dyDescent="0.25">
      <c r="A61" t="s">
        <v>73</v>
      </c>
      <c r="B61" s="2">
        <v>45546</v>
      </c>
      <c r="C61" t="s">
        <v>1273</v>
      </c>
      <c r="D61" t="s">
        <v>2406</v>
      </c>
      <c r="E61">
        <v>4</v>
      </c>
      <c r="F61">
        <v>593.27</v>
      </c>
      <c r="G61" t="s">
        <v>2465</v>
      </c>
      <c r="H61" t="s">
        <v>3066</v>
      </c>
      <c r="I61" t="s">
        <v>3070</v>
      </c>
      <c r="J61" t="s">
        <v>3134</v>
      </c>
      <c r="K61">
        <v>5</v>
      </c>
      <c r="M61" t="s">
        <v>4281</v>
      </c>
      <c r="N61" s="8">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s="8">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s="8">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s="8">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s="8">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s="8">
        <v>391.83</v>
      </c>
    </row>
    <row r="67" spans="1:14" x14ac:dyDescent="0.25">
      <c r="A67" t="s">
        <v>79</v>
      </c>
      <c r="B67" s="2">
        <v>45290</v>
      </c>
      <c r="C67" t="s">
        <v>1279</v>
      </c>
      <c r="D67" t="s">
        <v>2403</v>
      </c>
      <c r="E67">
        <v>5</v>
      </c>
      <c r="F67">
        <v>81.7</v>
      </c>
      <c r="G67" t="s">
        <v>2471</v>
      </c>
      <c r="H67" t="s">
        <v>3067</v>
      </c>
      <c r="I67" t="s">
        <v>3073</v>
      </c>
      <c r="J67" t="s">
        <v>3140</v>
      </c>
      <c r="K67">
        <v>6</v>
      </c>
      <c r="M67" t="s">
        <v>4278</v>
      </c>
      <c r="N67" s="8">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s="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s="8">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s="8">
        <v>1472.76</v>
      </c>
    </row>
    <row r="71" spans="1:14" x14ac:dyDescent="0.25">
      <c r="A71" t="s">
        <v>83</v>
      </c>
      <c r="B71" s="2">
        <v>45057</v>
      </c>
      <c r="C71" t="s">
        <v>1283</v>
      </c>
      <c r="D71" t="s">
        <v>2403</v>
      </c>
      <c r="E71">
        <v>3</v>
      </c>
      <c r="F71">
        <v>478.65</v>
      </c>
      <c r="G71" t="s">
        <v>2474</v>
      </c>
      <c r="H71" t="s">
        <v>3066</v>
      </c>
      <c r="I71" t="s">
        <v>3070</v>
      </c>
      <c r="J71" t="s">
        <v>3144</v>
      </c>
      <c r="K71">
        <v>4</v>
      </c>
      <c r="M71" t="s">
        <v>4279</v>
      </c>
      <c r="N71" s="8">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s="8">
        <v>629.21</v>
      </c>
    </row>
    <row r="73" spans="1:14" x14ac:dyDescent="0.25">
      <c r="A73" t="s">
        <v>85</v>
      </c>
      <c r="B73" s="2">
        <v>45818</v>
      </c>
      <c r="C73" t="s">
        <v>1285</v>
      </c>
      <c r="D73" t="s">
        <v>2403</v>
      </c>
      <c r="E73">
        <v>3</v>
      </c>
      <c r="F73">
        <v>434.45</v>
      </c>
      <c r="G73" t="s">
        <v>2476</v>
      </c>
      <c r="H73" t="s">
        <v>3067</v>
      </c>
      <c r="I73" t="s">
        <v>3074</v>
      </c>
      <c r="J73" t="s">
        <v>3146</v>
      </c>
      <c r="K73">
        <v>4</v>
      </c>
      <c r="M73" t="s">
        <v>4279</v>
      </c>
      <c r="N73" s="8">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s="8">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s="8">
        <v>1733.8</v>
      </c>
    </row>
    <row r="76" spans="1:14" x14ac:dyDescent="0.25">
      <c r="A76" t="s">
        <v>88</v>
      </c>
      <c r="B76" s="2">
        <v>45101</v>
      </c>
      <c r="C76" t="s">
        <v>1288</v>
      </c>
      <c r="D76" t="s">
        <v>2404</v>
      </c>
      <c r="E76">
        <v>5</v>
      </c>
      <c r="F76">
        <v>90.87</v>
      </c>
      <c r="G76" t="s">
        <v>2478</v>
      </c>
      <c r="H76" t="s">
        <v>3069</v>
      </c>
      <c r="I76" t="s">
        <v>3074</v>
      </c>
      <c r="J76" t="s">
        <v>3149</v>
      </c>
      <c r="K76">
        <v>5</v>
      </c>
      <c r="M76" t="s">
        <v>4278</v>
      </c>
      <c r="N76" s="8">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s="8">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s="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s="8">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s="8">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s="8">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s="8">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s="8">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s="8">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s="8">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s="8">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s="8">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s="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s="8">
        <v>675.33</v>
      </c>
    </row>
    <row r="90" spans="1:14" x14ac:dyDescent="0.25">
      <c r="A90" t="s">
        <v>102</v>
      </c>
      <c r="B90" s="2">
        <v>45813</v>
      </c>
      <c r="C90" t="s">
        <v>1302</v>
      </c>
      <c r="D90" t="s">
        <v>2409</v>
      </c>
      <c r="E90">
        <v>3</v>
      </c>
      <c r="F90">
        <v>114.81</v>
      </c>
      <c r="G90" t="s">
        <v>2492</v>
      </c>
      <c r="H90" t="s">
        <v>3068</v>
      </c>
      <c r="I90" t="s">
        <v>3071</v>
      </c>
      <c r="J90" t="s">
        <v>3163</v>
      </c>
      <c r="K90">
        <v>7</v>
      </c>
      <c r="M90" t="s">
        <v>4282</v>
      </c>
      <c r="N90" s="8">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s="8">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s="8">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s="8">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s="8">
        <v>194.44</v>
      </c>
    </row>
    <row r="95" spans="1:14" x14ac:dyDescent="0.25">
      <c r="A95" t="s">
        <v>107</v>
      </c>
      <c r="B95" s="2">
        <v>44940</v>
      </c>
      <c r="C95" t="s">
        <v>1307</v>
      </c>
      <c r="D95" t="s">
        <v>2409</v>
      </c>
      <c r="E95">
        <v>4</v>
      </c>
      <c r="F95">
        <v>431.01</v>
      </c>
      <c r="G95" t="s">
        <v>2497</v>
      </c>
      <c r="H95" t="s">
        <v>3067</v>
      </c>
      <c r="I95" t="s">
        <v>3072</v>
      </c>
      <c r="J95" t="s">
        <v>3168</v>
      </c>
      <c r="K95">
        <v>7</v>
      </c>
      <c r="M95" t="s">
        <v>4279</v>
      </c>
      <c r="N95" s="8">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s="8">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s="8">
        <v>470.04</v>
      </c>
    </row>
    <row r="98" spans="1:14" x14ac:dyDescent="0.25">
      <c r="A98" t="s">
        <v>110</v>
      </c>
      <c r="B98" s="2">
        <v>45444</v>
      </c>
      <c r="C98" t="s">
        <v>1310</v>
      </c>
      <c r="D98" t="s">
        <v>2404</v>
      </c>
      <c r="E98">
        <v>2</v>
      </c>
      <c r="F98">
        <v>232.83</v>
      </c>
      <c r="G98" t="s">
        <v>2483</v>
      </c>
      <c r="H98" t="s">
        <v>3068</v>
      </c>
      <c r="I98" t="s">
        <v>3073</v>
      </c>
      <c r="J98" t="s">
        <v>3171</v>
      </c>
      <c r="K98">
        <v>7</v>
      </c>
      <c r="M98" t="s">
        <v>4278</v>
      </c>
      <c r="N98" s="8">
        <v>465.66</v>
      </c>
    </row>
    <row r="99" spans="1:14" x14ac:dyDescent="0.25">
      <c r="A99" t="s">
        <v>111</v>
      </c>
      <c r="B99" s="2">
        <v>45678</v>
      </c>
      <c r="C99" t="s">
        <v>1311</v>
      </c>
      <c r="D99" t="s">
        <v>2405</v>
      </c>
      <c r="E99">
        <v>5</v>
      </c>
      <c r="F99">
        <v>619.52</v>
      </c>
      <c r="G99" t="s">
        <v>2500</v>
      </c>
      <c r="H99" t="s">
        <v>3065</v>
      </c>
      <c r="I99" t="s">
        <v>3074</v>
      </c>
      <c r="J99" t="s">
        <v>3172</v>
      </c>
      <c r="K99">
        <v>9</v>
      </c>
      <c r="M99" t="s">
        <v>4280</v>
      </c>
      <c r="N99" s="8">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s="8">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s="8">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s="8">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s="8">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s="8">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s="8">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s="8">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s="8">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s="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s="8">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s="8">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s="8">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s="8">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s="8">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s="8">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s="8">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s="8">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s="8">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s="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s="8">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s="8">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s="8">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s="8">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s="8">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s="8">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s="8">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s="8">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s="8">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s="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s="8">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s="8">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s="8">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s="8">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s="8">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s="8">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s="8">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s="8">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s="8">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s="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s="8">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s="8">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s="8">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s="8">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s="8">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s="8">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s="8">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s="8">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s="8">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s="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s="8">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s="8">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s="8">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s="8">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s="8">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s="8">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s="8">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s="8">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s="8">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s="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s="8">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s="8">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s="8">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s="8">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s="8">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s="8">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s="8">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s="8">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s="8">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s="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s="8">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s="8">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s="8">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s="8">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s="8">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s="8">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s="8">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s="8">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s="8">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s="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s="8">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s="8">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s="8">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s="8">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s="8">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s="8">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s="8">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s="8">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s="8">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s="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s="8">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s="8">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s="8">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s="8">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s="8">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s="8">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s="8">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s="8">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s="8">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s="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s="8">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s="8">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s="8">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s="8">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s="8">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s="8">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s="8">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s="8">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s="8">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s="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s="8">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s="8">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s="8">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s="8">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s="8">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s="8">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s="8">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s="8">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s="8">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s="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s="8">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s="8">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s="8">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s="8">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s="8">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s="8">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s="8">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s="8">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s="8">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s="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s="8">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s="8">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s="8">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s="8">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s="8">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s="8">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s="8">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s="8">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s="8">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s="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s="8">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s="8">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s="8">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s="8">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s="8">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s="8">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s="8">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s="8">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s="8">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s="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s="8">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s="8">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s="8">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s="8">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s="8">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s="8">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s="8">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s="8">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s="8">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s="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s="8">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s="8">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s="8">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s="8">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s="8">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s="8">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s="8">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s="8">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s="8">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s="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s="8">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s="8">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s="8">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s="8">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s="8">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s="8">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s="8">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s="8">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s="8">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s="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s="8">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s="8">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s="8">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s="8">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s="8">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s="8">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s="8">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s="8">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s="8">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s="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s="8">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s="8">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s="8">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s="8">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s="8">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s="8">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s="8">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s="8">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s="8">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s="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s="8">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s="8">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s="8">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s="8">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s="8">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s="8">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s="8">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s="8">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s="8">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s="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s="8">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s="8">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s="8">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s="8">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s="8">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s="8">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s="8">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s="8">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s="8">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s="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s="8">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s="8">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s="8">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s="8">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s="8">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s="8">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s="8">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s="8">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s="8">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s="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s="8">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s="8">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s="8">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s="8">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s="8">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s="8">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s="8">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s="8">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s="8">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s="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s="8">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s="8">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s="8">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s="8">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s="8">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s="8">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s="8">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s="8">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s="8">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s="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s="8">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s="8">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s="8">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s="8">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s="8">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s="8">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s="8">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s="8">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s="8">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s="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s="8">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s="8">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s="8">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s="8">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s="8">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s="8">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s="8">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s="8">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s="8">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s="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s="8">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s="8">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s="8">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s="8">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s="8">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s="8">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s="8">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s="8">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s="8">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s="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s="8">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s="8">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s="8">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s="8">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s="8">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s="8">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s="8">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s="8">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s="8">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s="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s="8">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s="8">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s="8">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s="8">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s="8">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s="8">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s="8">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s="8">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s="8">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s="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s="8">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s="8">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s="8">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s="8">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s="8">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s="8">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s="8">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s="8">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s="8">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s="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s="8">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s="8">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s="8">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s="8">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s="8">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s="8">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s="8">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s="8">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s="8">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s="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s="8">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s="8">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s="8">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s="8">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s="8">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s="8">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s="8">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s="8">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s="8">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s="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s="8">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s="8">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s="8">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s="8">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s="8">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s="8">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s="8">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s="8">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s="8">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s="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s="8">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s="8">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s="8">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s="8">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s="8">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s="8">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s="8">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s="8">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s="8">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s="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s="8">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s="8">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s="8">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s="8">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s="8">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s="8">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s="8">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s="8">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s="8">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s="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s="8">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s="8">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s="8">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s="8">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s="8">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s="8">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s="8">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s="8">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s="8">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s="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s="8">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s="8">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s="8">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s="8">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s="8">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s="8">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s="8">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s="8">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s="8">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s="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s="8">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s="8">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s="8">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s="8">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s="8">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s="8">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s="8">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s="8">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s="8">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s="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s="8">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s="8">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s="8">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s="8">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s="8">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s="8">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s="8">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s="8">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s="8">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s="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s="8">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s="8">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s="8">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s="8">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s="8">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s="8">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s="8">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s="8">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s="8">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s="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s="8">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s="8">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s="8">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s="8">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s="8">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s="8">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s="8">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s="8">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s="8">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s="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s="8">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s="8">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s="8">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s="8">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s="8">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s="8">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s="8">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s="8">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s="8">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s="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s="8">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s="8">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s="8">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s="8">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s="8">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s="8">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s="8">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s="8">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s="8">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s="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s="8">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s="8">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s="8">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s="8">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s="8">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s="8">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s="8">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s="8">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s="8">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s="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s="8">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s="8">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s="8">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s="8">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s="8">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s="8">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s="8">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s="8">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s="8">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s="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s="8">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s="8">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s="8">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s="8">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s="8">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s="8">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s="8">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s="8">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s="8">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s="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s="8">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s="8">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s="8">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s="8">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s="8">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s="8">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s="8">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s="8">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s="8">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s="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s="8">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s="8">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s="8">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s="8">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s="8">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s="8">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s="8">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s="8">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s="8">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s="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s="8">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s="8">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s="8">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s="8">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s="8">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s="8">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s="8">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s="8">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s="8">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s="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s="8">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s="8">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s="8">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s="8">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s="8">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s="8">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s="8">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s="8">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s="8">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s="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s="8">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s="8">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s="8">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s="8">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s="8">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s="8">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s="8">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s="8">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s="8">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s="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s="8">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s="8">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s="8">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s="8">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s="8">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s="8">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s="8">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s="8">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s="8">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s="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s="8">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s="8">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s="8">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s="8">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s="8">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s="8">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s="8">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s="8">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s="8">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s="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s="8">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s="8">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s="8">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s="8">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s="8">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s="8">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s="8">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s="8">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s="8">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s="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s="8">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s="8">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s="8">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s="8">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s="8">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s="8">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s="8">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s="8">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s="8">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s="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s="8">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s="8">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s="8">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s="8">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s="8">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s="8">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s="8">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s="8">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s="8">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s="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s="8">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s="8">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s="8">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s="8">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s="8">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s="8">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s="8">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s="8">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s="8">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s="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s="8">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s="8">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s="8">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s="8">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s="8">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s="8">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s="8">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s="8">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s="8">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s="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s="8">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s="8">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s="8">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s="8">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s="8">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s="8">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s="8">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s="8">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s="8">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s="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s="8">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s="8">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s="8">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s="8">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s="8">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s="8">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s="8">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s="8">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s="8">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s="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s="8">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s="8">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s="8">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s="8">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s="8">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s="8">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s="8">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s="8">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s="8">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s="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s="8">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s="8">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s="8">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s="8">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s="8">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s="8">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s="8">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s="8">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s="8">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s="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s="8">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s="8">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s="8">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s="8">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s="8">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s="8">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s="8">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s="8">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s="8">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s="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s="8">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s="8">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s="8">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s="8">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s="8">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s="8">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s="8">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s="8">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s="8">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s="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s="8">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s="8">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s="8">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s="8">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s="8">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s="8">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s="8">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s="8">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s="8">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s="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s="8">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s="8">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s="8">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s="8">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s="8">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s="8">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s="8">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s="8">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s="8">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s="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s="8">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s="8">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s="8">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s="8">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s="8">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s="8">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s="8">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s="8">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s="8">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s="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s="8">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s="8">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s="8">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s="8">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s="8">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s="8">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s="8">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s="8">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s="8">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s="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s="8">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s="8">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s="8">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s="8">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s="8">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s="8">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s="8">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s="8">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s="8">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s="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s="8">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s="8">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s="8">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s="8">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s="8">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s="8">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s="8">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s="8">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s="8">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s="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s="8">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s="8">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s="8">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s="8">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s="8">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s="8">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s="8">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s="8">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s="8">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s="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s="8">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s="8">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s="8">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s="8">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s="8">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s="8">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s="8">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s="8">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s="8">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s="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s="8">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s="8">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s="8">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s="8">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s="8">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s="8">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s="8">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s="8">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s="8">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s="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s="8">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s="8">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s="8">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s="8">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s="8">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s="8">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s="8">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s="8">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s="8">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s="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s="8">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s="8">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s="8">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s="8">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s="8">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s="8">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s="8">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s="8">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s="8">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s="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s="8">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s="8">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s="8">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s="8">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s="8">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s="8">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s="8">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s="8">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s="8">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s="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s="8">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s="8">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s="8">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s="8">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s="8">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s="8">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s="8">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s="8">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s="8">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s="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s="8">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s="8">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s="8">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s="8">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s="8">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s="8">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s="8">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s="8">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s="8">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s="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s="8">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s="8">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s="8">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s="8">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s="8">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s="8">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s="8">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s="8">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s="8">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s="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s="8">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s="8">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s="8">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s="8">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s="8">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s="8">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s="8">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s="8">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s="8">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s="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s="8">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s="8">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s="8">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s="8">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s="8">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s="8">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s="8">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s="8">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s="8">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s="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s="8">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s="8">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s="8">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s="8">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s="8">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s="8">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s="8">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s="8">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s="8">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s="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s="8">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s="8">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s="8">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s="8">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s="8">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s="8">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s="8">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s="8">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s="8">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s="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s="8">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s="8">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s="8">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s="8">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s="8">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s="8">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s="8">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s="8">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s="8">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s="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s="8">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s="8">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s="8">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s="8">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s="8">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s="8">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s="8">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s="8">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s="8">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s="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s="8">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s="8">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s="8">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s="8">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s="8">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s="8">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s="8">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s="8">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s="8">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s="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s="8">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s="8">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s="8">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s="8">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s="8">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s="8">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s="8">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s="8">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s="8">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s="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s="8">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s="8">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s="8">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s="8">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s="8">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s="8">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s="8">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s="8">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s="8">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s="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s="8">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s="8">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s="8">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s="8">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s="8">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s="8">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s="8">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s="8">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s="8">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s="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s="8">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s="8">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s="8">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s="8">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s="8">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s="8">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s="8">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s="8">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s="8">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s="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s="8">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s="8">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s="8">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s="8">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s="8">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s="8">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s="8">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s="8">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s="8">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s="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s="8">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s="8">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s="8">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s="8">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s="8">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s="8">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s="8">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s="8">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s="8">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s="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s="8">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s="8">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s="8">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s="8">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s="8">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s="8">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s="8">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s="8">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s="8">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s="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s="8">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s="8">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s="8">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s="8">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s="8">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s="8">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s="8">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s="8">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s="8">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s="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s="8">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s="8">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s="8">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s="8">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s="8">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s="8">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s="8">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s="8">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s="8">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s="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s="8">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s="8">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s="8">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s="8">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s="8">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s="8">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s="8">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s="8">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s="8">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s="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s="8">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s="8">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s="8">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s="8">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s="8">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s="8">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s="8">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s="8">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s="8">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s="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s="8">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s="8">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s="8">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s="8">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s="8">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s="8">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s="8">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s="8">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s="8">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s="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s="8">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s="8">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s="8">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s="8">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s="8">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s="8">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s="8">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s="8">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s="8">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s="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s="8">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s="8">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s="8">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s="8">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s="8">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s="8">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s="8">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s="8">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s="8">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s="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s="8">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s="8">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s="8">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s="8">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s="8">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s="8">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s="8">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s="8">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s="8">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s="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s="8">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s="8">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s="8">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s="8">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s="8">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s="8">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s="8">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s="8">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s="8">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s="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s="8">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s="8">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s="8">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s="8">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s="8">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s="8">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s="8">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s="8">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s="8">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s="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s="8">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s="8">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s="8">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s="8">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s="8">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s="8">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s="8">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s="8">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s="8">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s="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s="8">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s="8">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s="8">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s="8">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s="8">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s="8">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s="8">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s="8">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s="8">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s="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s="8">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s="8">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s="8">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s="8">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s="8">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s="8">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s="8">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s="8">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s="8">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s="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s="8">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s="8">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s="8">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s="8">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s="8">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s="8">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s="8">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s="8">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s="8">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s="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s="8">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s="8">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s="8">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s="8">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s="8">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s="8">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s="8">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s="8">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s="8">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s="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s="8">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s="8">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s="8">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s="8">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s="8">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s="8">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s="8">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s="8">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s="8">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s="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s="8">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s="8">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s="8">
        <v>2242.3200000000002</v>
      </c>
    </row>
  </sheetData>
  <autoFilter ref="A1:N1201" xr:uid="{00000000-0001-0000-00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0B4EDD-D3B5-407E-8129-E70F289ADA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Sheet3</vt:lpstr>
      <vt:lpstr>Chart</vt: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somte</dc:creator>
  <cp:lastModifiedBy>somtochukwu stanley</cp:lastModifiedBy>
  <dcterms:created xsi:type="dcterms:W3CDTF">2025-06-21T13:19:12Z</dcterms:created>
  <dcterms:modified xsi:type="dcterms:W3CDTF">2026-10-08T22:18:09Z</dcterms:modified>
</cp:coreProperties>
</file>